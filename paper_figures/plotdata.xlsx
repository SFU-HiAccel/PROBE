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monzhao/Desktop/LLMSQL/LASOPaper/"/>
    </mc:Choice>
  </mc:AlternateContent>
  <xr:revisionPtr revIDLastSave="0" documentId="13_ncr:1_{15430E59-CFEB-CA46-B967-A4B7595EF49D}" xr6:coauthVersionLast="47" xr6:coauthVersionMax="47" xr10:uidLastSave="{00000000-0000-0000-0000-000000000000}"/>
  <bookViews>
    <workbookView xWindow="45280" yWindow="1460" windowWidth="32360" windowHeight="17940" activeTab="5" xr2:uid="{00000000-000D-0000-FFFF-FFFF00000000}"/>
  </bookViews>
  <sheets>
    <sheet name="hyper-param" sheetId="1" r:id="rId1"/>
    <sheet name="Table-dataset" sheetId="2" r:id="rId2"/>
    <sheet name="Low Selectivity Query" sheetId="3" r:id="rId3"/>
    <sheet name="ablation-diff-impl" sheetId="4" r:id="rId4"/>
    <sheet name="BARGAIN" sheetId="5" r:id="rId5"/>
    <sheet name="ablation-f1-system" sheetId="6" r:id="rId6"/>
    <sheet name="ablation-latency-system" sheetId="7" r:id="rId7"/>
    <sheet name="defer-ablation" sheetId="8" r:id="rId8"/>
    <sheet name="time-breakdown" sheetId="9" r:id="rId9"/>
    <sheet name="ablation-table-summary" sheetId="10" r:id="rId10"/>
    <sheet name="Figure8" sheetId="11" r:id="rId11"/>
    <sheet name="Figure9" sheetId="12" r:id="rId12"/>
    <sheet name="budget-diffsystem-ablation" sheetId="13" r:id="rId13"/>
    <sheet name="ablation-embedding model" sheetId="14" r:id="rId14"/>
    <sheet name="Model-ablation" sheetId="15" r:id="rId15"/>
    <sheet name="MLLM-ablation" sheetId="16" r:id="rId16"/>
    <sheet name="uqe topk unif-SamplingAblation" sheetId="17" r:id="rId17"/>
    <sheet name="Table3-sampler" sheetId="18" r:id="rId18"/>
    <sheet name="Table4-prop" sheetId="19" r:id="rId19"/>
    <sheet name="Table34-stddev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9" l="1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22" i="9"/>
  <c r="E75" i="7"/>
  <c r="E74" i="7"/>
  <c r="E73" i="7"/>
  <c r="E72" i="7"/>
  <c r="E71" i="7"/>
  <c r="E70" i="7"/>
  <c r="E64" i="7"/>
  <c r="M3" i="9"/>
  <c r="M4" i="9"/>
  <c r="M5" i="9"/>
  <c r="M6" i="9"/>
  <c r="M7" i="9"/>
  <c r="M13" i="9"/>
  <c r="M14" i="9"/>
  <c r="M15" i="9"/>
  <c r="M16" i="9"/>
  <c r="M17" i="9"/>
  <c r="H5" i="9"/>
  <c r="H17" i="9"/>
  <c r="H3" i="9"/>
  <c r="H4" i="9"/>
  <c r="H6" i="9"/>
  <c r="H7" i="9"/>
  <c r="H8" i="9"/>
  <c r="M8" i="9" s="1"/>
  <c r="H9" i="9"/>
  <c r="M9" i="9" s="1"/>
  <c r="H10" i="9"/>
  <c r="M10" i="9" s="1"/>
  <c r="H11" i="9"/>
  <c r="M11" i="9" s="1"/>
  <c r="H12" i="9"/>
  <c r="M12" i="9" s="1"/>
  <c r="H13" i="9"/>
  <c r="H14" i="9"/>
  <c r="H15" i="9"/>
  <c r="H16" i="9"/>
  <c r="H2" i="9"/>
  <c r="M2" i="9" s="1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2" i="19"/>
  <c r="U7" i="1"/>
  <c r="S7" i="1"/>
  <c r="Q7" i="1"/>
  <c r="O7" i="1"/>
  <c r="M7" i="1"/>
  <c r="K7" i="1"/>
  <c r="I7" i="1"/>
  <c r="G7" i="1"/>
  <c r="E7" i="1"/>
  <c r="C7" i="1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96" i="7"/>
  <c r="G28" i="15"/>
  <c r="F28" i="15"/>
  <c r="G19" i="15"/>
  <c r="F19" i="15"/>
  <c r="G10" i="15"/>
  <c r="F10" i="15"/>
  <c r="H471" i="8"/>
  <c r="H470" i="8"/>
  <c r="H469" i="8"/>
  <c r="H468" i="8"/>
  <c r="H467" i="8"/>
  <c r="H466" i="8"/>
  <c r="H465" i="8"/>
  <c r="H464" i="8"/>
  <c r="H463" i="8"/>
  <c r="H462" i="8"/>
  <c r="H461" i="8"/>
  <c r="H460" i="8"/>
  <c r="H459" i="8"/>
  <c r="H458" i="8"/>
  <c r="F300" i="8"/>
  <c r="F299" i="8"/>
  <c r="F298" i="8"/>
  <c r="F297" i="8"/>
  <c r="F296" i="8"/>
  <c r="F295" i="8"/>
  <c r="F294" i="8"/>
  <c r="F234" i="8"/>
  <c r="F233" i="8"/>
  <c r="F232" i="8"/>
  <c r="F39" i="8"/>
  <c r="F38" i="8"/>
  <c r="F37" i="8"/>
  <c r="F36" i="8"/>
  <c r="F35" i="8"/>
  <c r="F34" i="8"/>
  <c r="F33" i="8"/>
  <c r="F32" i="8"/>
  <c r="F15" i="8"/>
  <c r="F14" i="8"/>
  <c r="F13" i="8"/>
  <c r="F12" i="8"/>
  <c r="C99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69" i="7"/>
  <c r="E68" i="7"/>
  <c r="E67" i="7"/>
  <c r="E66" i="7"/>
  <c r="E65" i="7"/>
  <c r="P50" i="5"/>
  <c r="P23" i="5"/>
  <c r="M17" i="4"/>
  <c r="J17" i="4"/>
  <c r="E17" i="4"/>
  <c r="M16" i="4"/>
  <c r="J16" i="4"/>
  <c r="E16" i="4"/>
  <c r="M15" i="4"/>
  <c r="J15" i="4"/>
  <c r="E15" i="4"/>
  <c r="M14" i="4"/>
  <c r="J14" i="4"/>
  <c r="E14" i="4"/>
  <c r="M13" i="4"/>
  <c r="J13" i="4"/>
  <c r="E13" i="4"/>
  <c r="M12" i="4"/>
  <c r="J12" i="4"/>
  <c r="E12" i="4"/>
  <c r="M11" i="4"/>
  <c r="J11" i="4"/>
  <c r="E11" i="4"/>
  <c r="M10" i="4"/>
  <c r="J10" i="4"/>
  <c r="E10" i="4"/>
  <c r="M9" i="4"/>
  <c r="J9" i="4"/>
  <c r="E9" i="4"/>
  <c r="M8" i="4"/>
  <c r="J8" i="4"/>
  <c r="E8" i="4"/>
  <c r="M7" i="4"/>
  <c r="J7" i="4"/>
  <c r="E7" i="4"/>
  <c r="M6" i="4"/>
  <c r="J6" i="4"/>
  <c r="E6" i="4"/>
  <c r="M5" i="4"/>
  <c r="J5" i="4"/>
  <c r="E5" i="4"/>
  <c r="M4" i="4"/>
  <c r="J4" i="4"/>
  <c r="E4" i="4"/>
  <c r="M3" i="4"/>
  <c r="J3" i="4"/>
  <c r="E3" i="4"/>
  <c r="M2" i="4"/>
  <c r="J2" i="4"/>
  <c r="E2" i="4"/>
  <c r="F17" i="2"/>
  <c r="Y2" i="1"/>
  <c r="S2" i="1"/>
  <c r="K2" i="1"/>
</calcChain>
</file>

<file path=xl/sharedStrings.xml><?xml version="1.0" encoding="utf-8"?>
<sst xmlns="http://schemas.openxmlformats.org/spreadsheetml/2006/main" count="9926" uniqueCount="820">
  <si>
    <t>query</t>
  </si>
  <si>
    <t>s1_f1</t>
  </si>
  <si>
    <t>s1_lat</t>
  </si>
  <si>
    <t>s2_f1</t>
  </si>
  <si>
    <t>s2_lat</t>
  </si>
  <si>
    <t>s3_f1</t>
  </si>
  <si>
    <t>s3_lat</t>
  </si>
  <si>
    <t>s4_f1</t>
  </si>
  <si>
    <t>s4_lat</t>
  </si>
  <si>
    <t>s5_f1</t>
  </si>
  <si>
    <t>s5_lat</t>
  </si>
  <si>
    <t>s6_f1</t>
  </si>
  <si>
    <t>s6_lat</t>
  </si>
  <si>
    <t>s7_f1</t>
  </si>
  <si>
    <t>s7_lat</t>
  </si>
  <si>
    <t>s8_f1</t>
  </si>
  <si>
    <t>s8_lat</t>
  </si>
  <si>
    <t>s9_f1</t>
  </si>
  <si>
    <t>s9_lat</t>
  </si>
  <si>
    <t>s10_f1</t>
  </si>
  <si>
    <t>s10_lat</t>
  </si>
  <si>
    <t>k10_f1</t>
  </si>
  <si>
    <t>k10_lat</t>
  </si>
  <si>
    <t>k30_f1</t>
  </si>
  <si>
    <t>k30_lat</t>
  </si>
  <si>
    <t>k50_f1</t>
  </si>
  <si>
    <t>k50_lat</t>
  </si>
  <si>
    <t>rho0.3_f1</t>
  </si>
  <si>
    <t>rho0.3_lat</t>
  </si>
  <si>
    <t>rho0.5_f1</t>
  </si>
  <si>
    <t>rho0.5_lat</t>
  </si>
  <si>
    <t>rho0.7_f1</t>
  </si>
  <si>
    <t>rho0.7_lat</t>
  </si>
  <si>
    <t>mmqa_q2a</t>
  </si>
  <si>
    <t>mmqa_q7</t>
  </si>
  <si>
    <t>ecomm_q6</t>
  </si>
  <si>
    <t>ecomm_q7</t>
  </si>
  <si>
    <t>ecomm_q8</t>
  </si>
  <si>
    <t>ecomm_q9</t>
  </si>
  <si>
    <t>ecomm_q13</t>
  </si>
  <si>
    <t>cars_q3</t>
  </si>
  <si>
    <t>cars_q4</t>
  </si>
  <si>
    <t>cars_q8</t>
  </si>
  <si>
    <t>animals_q1</t>
  </si>
  <si>
    <t>movie_q5</t>
  </si>
  <si>
    <t>match113</t>
  </si>
  <si>
    <t>match121</t>
  </si>
  <si>
    <t>match202</t>
  </si>
  <si>
    <t>match305</t>
  </si>
  <si>
    <t>AVERAGE</t>
  </si>
  <si>
    <t>scenario</t>
  </si>
  <si>
    <t>type</t>
  </si>
  <si>
    <t>modality</t>
  </si>
  <si>
    <t>|T|</t>
  </si>
  <si>
    <t>selectivity</t>
  </si>
  <si>
    <t>MMQA</t>
  </si>
  <si>
    <t>J</t>
  </si>
  <si>
    <t>text+img</t>
  </si>
  <si>
    <t>E-commerce</t>
  </si>
  <si>
    <t>F</t>
  </si>
  <si>
    <t>text</t>
  </si>
  <si>
    <t>img</t>
  </si>
  <si>
    <t>Cars</t>
  </si>
  <si>
    <t>Animals</t>
  </si>
  <si>
    <t>LRO_match113</t>
  </si>
  <si>
    <t>santos</t>
  </si>
  <si>
    <t>LRO_match121</t>
  </si>
  <si>
    <t>LRO_match202</t>
  </si>
  <si>
    <t>movies</t>
  </si>
  <si>
    <t>LRO_match305</t>
  </si>
  <si>
    <t>california_schools</t>
  </si>
  <si>
    <t>experiment</t>
  </si>
  <si>
    <t>ablation</t>
  </si>
  <si>
    <t>mode</t>
  </si>
  <si>
    <t>deferral_policy</t>
  </si>
  <si>
    <t>deferral_rule</t>
  </si>
  <si>
    <t>deferral_threshold</t>
  </si>
  <si>
    <t>budget_pct</t>
  </si>
  <si>
    <t>feature_mode</t>
  </si>
  <si>
    <t>knn_k</t>
  </si>
  <si>
    <t>embedding_model</t>
  </si>
  <si>
    <t>embedding_short</t>
  </si>
  <si>
    <t>num_results</t>
  </si>
  <si>
    <t>precision</t>
  </si>
  <si>
    <t>recall</t>
  </si>
  <si>
    <t>f1</t>
  </si>
  <si>
    <t>duration_s</t>
  </si>
  <si>
    <t>llm_calls</t>
  </si>
  <si>
    <t>vllm_requests_actual</t>
  </si>
  <si>
    <t>vllm_prompt_tokens_actual</t>
  </si>
  <si>
    <t>vllm_completion_tokens_actual</t>
  </si>
  <si>
    <t>vllm_total_tokens_actual</t>
  </si>
  <si>
    <t>llm_requests_python</t>
  </si>
  <si>
    <t>llm_prompt_tokens_python</t>
  </si>
  <si>
    <t>llm_completion_tokens_python</t>
  </si>
  <si>
    <t>llm_total_tokens_python</t>
  </si>
  <si>
    <t>policy_total_rows</t>
  </si>
  <si>
    <t>policy_trust_proxy_count</t>
  </si>
  <si>
    <t>policy_rollback_to_llm_count</t>
  </si>
  <si>
    <t>policy_rollback_to_llm_rate</t>
  </si>
  <si>
    <t>phase_embedding_s</t>
  </si>
  <si>
    <t>phase_sampling_s</t>
  </si>
  <si>
    <t>phase_training_s</t>
  </si>
  <si>
    <t>phase_prediction_s</t>
  </si>
  <si>
    <t>sub_data_prep_s</t>
  </si>
  <si>
    <t>sub_similarity_s</t>
  </si>
  <si>
    <t>sub_pair_msg_s</t>
  </si>
  <si>
    <t>sub_knn_build_s</t>
  </si>
  <si>
    <t>sub_sampling_core_s</t>
  </si>
  <si>
    <t>sub_labeling_s</t>
  </si>
  <si>
    <t>sub_result_assembly_s</t>
  </si>
  <si>
    <t>sub_lr_predict_s</t>
  </si>
  <si>
    <t>sub_graph_norm_s</t>
  </si>
  <si>
    <t>sub_correct_s</t>
  </si>
  <si>
    <t>sub_smooth_s</t>
  </si>
  <si>
    <t>cs_correct_iters</t>
  </si>
  <si>
    <t>cs_smooth_iters</t>
  </si>
  <si>
    <t>gamcal_enabled</t>
  </si>
  <si>
    <t>gamcal_cold_start</t>
  </si>
  <si>
    <t>gamcal_calibration_source</t>
  </si>
  <si>
    <t>gamcal_n_cal</t>
  </si>
  <si>
    <t>gamcal_n_pos_cal</t>
  </si>
  <si>
    <t>gamcal_n_neg_cal</t>
  </si>
  <si>
    <t>gamcal_tau_low</t>
  </si>
  <si>
    <t>gamcal_tau_high</t>
  </si>
  <si>
    <t>gamcal_alpha</t>
  </si>
  <si>
    <t>gamcal_beta</t>
  </si>
  <si>
    <t>gamcal_lam</t>
  </si>
  <si>
    <t>gamcal_n_knots</t>
  </si>
  <si>
    <t>gamcal_decision_mode</t>
  </si>
  <si>
    <t>gamcal_accept_count</t>
  </si>
  <si>
    <t>gamcal_uncertain_count</t>
  </si>
  <si>
    <t>gamcal_reject_count</t>
  </si>
  <si>
    <t>gamcal_delegation_rate</t>
  </si>
  <si>
    <t>gamcal_expected_f_beta</t>
  </si>
  <si>
    <t>gamcal_baseline_f_beta</t>
  </si>
  <si>
    <t>gamcal_objective_at_opt</t>
  </si>
  <si>
    <t>gamcal_g_mean_avg</t>
  </si>
  <si>
    <t>gamcal_g_se_avg</t>
  </si>
  <si>
    <t>gamcal_routing</t>
  </si>
  <si>
    <t>gamcal_verify_uncertain</t>
  </si>
  <si>
    <t>gamcal_verify_count</t>
  </si>
  <si>
    <t>gamcal_verify_positive</t>
  </si>
  <si>
    <t>gamcal_verify_time</t>
  </si>
  <si>
    <t>gamcal_fit_time</t>
  </si>
  <si>
    <t>gamcal_optimize_time</t>
  </si>
  <si>
    <t>gamcal_total_time</t>
  </si>
  <si>
    <t>deferral_method</t>
  </si>
  <si>
    <t>deferral_n_oof_train</t>
  </si>
  <si>
    <t>deferral_n_train_wrong</t>
  </si>
  <si>
    <t>deferral_n_train_right</t>
  </si>
  <si>
    <t>deferral_inner_cv_auc</t>
  </si>
  <si>
    <t>deferral_inner_cv_auc_std</t>
  </si>
  <si>
    <t>deferral_probe_auc</t>
  </si>
  <si>
    <t>deferral_probe_confidence_baseline_auc</t>
  </si>
  <si>
    <t>deferral_probe_defer_rate</t>
  </si>
  <si>
    <t>deferral_probe_selective_acc</t>
  </si>
  <si>
    <t>deferral_probe_n</t>
  </si>
  <si>
    <t>deferral_defer_rate</t>
  </si>
  <si>
    <t>deferral_chosen_hidden_dims</t>
  </si>
  <si>
    <t>deferral_chosen_alpha</t>
  </si>
  <si>
    <t>deferral_fallback_reason</t>
  </si>
  <si>
    <t>dasp_pred_pos_total</t>
  </si>
  <si>
    <t>dasp_pred_pos_by_proxy</t>
  </si>
  <si>
    <t>dasp_pred_pos_by_b_proxy</t>
  </si>
  <si>
    <t>dasp_pred_pos_by_b_defer</t>
  </si>
  <si>
    <t>dasp_pred_pos_by_verify</t>
  </si>
  <si>
    <t>dasp_pred_neg_total</t>
  </si>
  <si>
    <t>dasp_pred_neg_by_proxy</t>
  </si>
  <si>
    <t>dasp_pred_neg_by_b_proxy</t>
  </si>
  <si>
    <t>dasp_pred_neg_by_b_defer</t>
  </si>
  <si>
    <t>dasp_pred_neg_by_verify</t>
  </si>
  <si>
    <t>direct+cs+trust_proxy_ecomm_q6_budget5pct_embedding_kauto_emb-siglip-base-patch16-224</t>
  </si>
  <si>
    <t>direct+cs+trust_proxy</t>
  </si>
  <si>
    <t>propagation</t>
  </si>
  <si>
    <t>trust_proxy</t>
  </si>
  <si>
    <t>threshold</t>
  </si>
  <si>
    <t>embedding</t>
  </si>
  <si>
    <t>auto</t>
  </si>
  <si>
    <t>/localhome/hza214/siglip-base-patch16-224</t>
  </si>
  <si>
    <t>siglip-base-patch16-224</t>
  </si>
  <si>
    <t>direct+cs+trust_proxy_ecomm_q6_budget10pct_embedding_kauto_emb-siglip-base-patch16-224</t>
  </si>
  <si>
    <t>direct+cs+trust_proxy_ecomm_q6_budget15pct_embedding_kauto_emb-siglip-base-patch16-224</t>
  </si>
  <si>
    <t>direct+cs+trust_proxy_ecomm_q6_budget20pct_embedding_kauto_emb-siglip-base-patch16-224</t>
  </si>
  <si>
    <t>direct+cs+trust_proxy_ecomm_q6_budget25pct_embedding_kauto_emb-siglip-base-patch16-224</t>
  </si>
  <si>
    <t>no_opt_ecomm_q6</t>
  </si>
  <si>
    <t>no_opt</t>
  </si>
  <si>
    <t>learned_deferral</t>
  </si>
  <si>
    <t>n/a</t>
  </si>
  <si>
    <t>sembench_predicted_count</t>
  </si>
  <si>
    <t>sembench_pred_avg_age</t>
  </si>
  <si>
    <t>sembench_gt_avg_age</t>
  </si>
  <si>
    <t>sembench_absolute_error</t>
  </si>
  <si>
    <t>sembench_relative_error</t>
  </si>
  <si>
    <t>sembench_mape</t>
  </si>
  <si>
    <t>direct+cs+trust_proxy_movie_q5_budget5pct_embedding_kauto_emb-siglip-base-patch16-224</t>
  </si>
  <si>
    <t>direct+cs+trust_proxy_movie_q5_budget10pct_embedding_kauto_emb-siglip-base-patch16-224</t>
  </si>
  <si>
    <t>direct+cs+trust_proxy_movie_q5_budget15pct_embedding_kauto_emb-siglip-base-patch16-224</t>
  </si>
  <si>
    <t>direct+cs+trust_proxy_movie_q5_budget20pct_embedding_kauto_emb-siglip-base-patch16-224</t>
  </si>
  <si>
    <t>direct+cs+trust_proxy_movie_q5_budget25pct_embedding_kauto_emb-siglip-base-patch16-224</t>
  </si>
  <si>
    <t>no_opt_movie_q5</t>
  </si>
  <si>
    <t>movie_q7</t>
  </si>
  <si>
    <t>direct+cs+trust_proxy_movie_q7_budget5pct_embedding_kauto_emb-siglip-base-patch16-224</t>
  </si>
  <si>
    <t>direct+cs+trust_proxy_movie_q7_budget10pct_embedding_kauto_emb-siglip-base-patch16-224</t>
  </si>
  <si>
    <t>direct+cs+trust_proxy_movie_q7_budget15pct_embedding_kauto_emb-siglip-base-patch16-224</t>
  </si>
  <si>
    <t>direct+cs+trust_proxy_movie_q7_budget20pct_embedding_kauto_emb-siglip-base-patch16-224</t>
  </si>
  <si>
    <t>direct+cs+trust_proxy_movie_q7_budget25pct_embedding_kauto_emb-siglip-base-patch16-224</t>
  </si>
  <si>
    <t>no_opt_movie_q7</t>
  </si>
  <si>
    <t>sembench_gt_count</t>
  </si>
  <si>
    <t>sembench_tp</t>
  </si>
  <si>
    <t>sembench_fp</t>
  </si>
  <si>
    <t>sembench_fn</t>
  </si>
  <si>
    <t>sembench_precision</t>
  </si>
  <si>
    <t>sembench_recall</t>
  </si>
  <si>
    <t>sembench_f1</t>
  </si>
  <si>
    <t>direct+cs+trust_proxy_cars_q4_budget1pct_embedding_kauto_emb-siglip-base-patch16-224</t>
  </si>
  <si>
    <t>direct+cs+trust_proxy_cars_q4_budget2pct_embedding_kauto_emb-siglip-base-patch16-224</t>
  </si>
  <si>
    <t>direct+cs+trust_proxy_cars_q4_budget3pct_embedding_kauto_emb-siglip-base-patch16-224</t>
  </si>
  <si>
    <t>direct+cs+trust_proxy_cars_q4_budget4pct_embedding_kauto_emb-siglip-base-patch16-224</t>
  </si>
  <si>
    <t>direct+cs+trust_proxy_cars_q4_budget5pct_embedding_kauto_emb-siglip-base-patch16-224</t>
  </si>
  <si>
    <t>direct+cs+trust_proxy_cars_q4_budget6pct_embedding_kauto_emb-siglip-base-patch16-224</t>
  </si>
  <si>
    <t>direct+cs+trust_proxy_cars_q4_budget7pct_embedding_kauto_emb-siglip-base-patch16-224</t>
  </si>
  <si>
    <t>direct+cs+trust_proxy_cars_q4_budget8pct_embedding_kauto_emb-siglip-base-patch16-224</t>
  </si>
  <si>
    <t>direct+cs+trust_proxy_cars_q4_budget9pct_embedding_kauto_emb-siglip-base-patch16-224</t>
  </si>
  <si>
    <t>direct+cs+trust_proxy_cars_q4_budget10pct_embedding_kauto_emb-siglip-base-patch16-224</t>
  </si>
  <si>
    <t>no_opt_cars_q4</t>
  </si>
  <si>
    <t>direct+cs+dasp_topk_cars_q4_budget1pct_embedding_kauto_emb-siglip-base-patch16-224</t>
  </si>
  <si>
    <t>direct+cs+dasp_topk</t>
  </si>
  <si>
    <t>dasp_topk</t>
  </si>
  <si>
    <t>dasp_b_defer</t>
  </si>
  <si>
    <t>dasp_deferral</t>
  </si>
  <si>
    <t>dasp_deferral_lr</t>
  </si>
  <si>
    <t>direct+cs+dasp_topk_cars_q4_budget2pct_embedding_kauto_emb-siglip-base-patch16-224</t>
  </si>
  <si>
    <t>direct+cs+dasp_topk_cars_q4_budget3pct_embedding_kauto_emb-siglip-base-patch16-224</t>
  </si>
  <si>
    <t>direct+cs+dasp_topk_cars_q4_budget4pct_embedding_kauto_emb-siglip-base-patch16-224</t>
  </si>
  <si>
    <t>direct+cs+dasp_topk_cars_q4_budget5pct_embedding_kauto_emb-siglip-base-patch16-224</t>
  </si>
  <si>
    <t>direct+cs+dasp_topk_cars_q4_budget6pct_embedding_kauto_emb-siglip-base-patch16-224</t>
  </si>
  <si>
    <t>direct+cs+dasp_topk_cars_q4_budget7pct_embedding_kauto_emb-siglip-base-patch16-224</t>
  </si>
  <si>
    <t>direct+cs+dasp_topk_cars_q4_budget8pct_embedding_kauto_emb-siglip-base-patch16-224</t>
  </si>
  <si>
    <t>direct+cs+dasp_topk_cars_q4_budget9pct_embedding_kauto_emb-siglip-base-patch16-224</t>
  </si>
  <si>
    <t>direct+cs+dasp_topk_cars_q4_budget10pct_embedding_kauto_emb-siglip-base-patch16-224</t>
  </si>
  <si>
    <t>uqe_active+lr_only_cars_q4_budget1pct_embedding_kauto_emb-siglip-base-patch16-224</t>
  </si>
  <si>
    <t>uqe_active+lr_only</t>
  </si>
  <si>
    <t>-</t>
  </si>
  <si>
    <t>uqe_active+lr_only_cars_q4_budget2pct_embedding_kauto_emb-siglip-base-patch16-224</t>
  </si>
  <si>
    <t>uqe_active+lr_only_cars_q4_budget3pct_embedding_kauto_emb-siglip-base-patch16-224</t>
  </si>
  <si>
    <t>uqe_active+lr_only_cars_q4_budget4pct_embedding_kauto_emb-siglip-base-patch16-224</t>
  </si>
  <si>
    <t>uqe_active+lr_only_cars_q4_budget5pct_embedding_kauto_emb-siglip-base-patch16-224</t>
  </si>
  <si>
    <t>uqe_active+lr_only_cars_q4_budget6pct_embedding_kauto_emb-siglip-base-patch16-224</t>
  </si>
  <si>
    <t>uqe_active+lr_only_cars_q4_budget7pct_embedding_kauto_emb-siglip-base-patch16-224</t>
  </si>
  <si>
    <t>uqe_active+lr_only_cars_q4_budget8pct_embedding_kauto_emb-siglip-base-patch16-224</t>
  </si>
  <si>
    <t>uqe_active+lr_only_cars_q4_budget9pct_embedding_kauto_emb-siglip-base-patch16-224</t>
  </si>
  <si>
    <t>uqe_active+lr_only_cars_q4_budget10pct_embedding_kauto_emb-siglip-base-patch16-224</t>
  </si>
  <si>
    <t>random+cs_cars_q4_budget1pct_embedding_kauto_emb-siglip-base-patch16-224</t>
  </si>
  <si>
    <t>random+cs</t>
  </si>
  <si>
    <t>random+cs_cars_q4_budget2pct_embedding_kauto_emb-siglip-base-patch16-224</t>
  </si>
  <si>
    <t>random+cs_cars_q4_budget3pct_embedding_kauto_emb-siglip-base-patch16-224</t>
  </si>
  <si>
    <t>random+cs_cars_q4_budget4pct_embedding_kauto_emb-siglip-base-patch16-224</t>
  </si>
  <si>
    <t>random+cs_cars_q4_budget5pct_embedding_kauto_emb-siglip-base-patch16-224</t>
  </si>
  <si>
    <t>random+cs_cars_q4_budget6pct_embedding_kauto_emb-siglip-base-patch16-224</t>
  </si>
  <si>
    <t>random+cs_cars_q4_budget7pct_embedding_kauto_emb-siglip-base-patch16-224</t>
  </si>
  <si>
    <t>random+cs_cars_q4_budget8pct_embedding_kauto_emb-siglip-base-patch16-224</t>
  </si>
  <si>
    <t>random+cs_cars_q4_budget9pct_embedding_kauto_emb-siglip-base-patch16-224</t>
  </si>
  <si>
    <t>random+cs_cars_q4_budget10pct_embedding_kauto_emb-siglip-base-patch16-224</t>
  </si>
  <si>
    <t>direct+lr_only_cars_q4_budget1pct_embedding_kauto_emb-siglip-base-patch16-224</t>
  </si>
  <si>
    <t>direct+lr_only</t>
  </si>
  <si>
    <t>direct+lr_only_cars_q4_budget2pct_embedding_kauto_emb-siglip-base-patch16-224</t>
  </si>
  <si>
    <t>direct+lr_only_cars_q4_budget3pct_embedding_kauto_emb-siglip-base-patch16-224</t>
  </si>
  <si>
    <t>direct+lr_only_cars_q4_budget4pct_embedding_kauto_emb-siglip-base-patch16-224</t>
  </si>
  <si>
    <t>direct+lr_only_cars_q4_budget5pct_embedding_kauto_emb-siglip-base-patch16-224</t>
  </si>
  <si>
    <t>direct+lr_only_cars_q4_budget6pct_embedding_kauto_emb-siglip-base-patch16-224</t>
  </si>
  <si>
    <t>direct+lr_only_cars_q4_budget7pct_embedding_kauto_emb-siglip-base-patch16-224</t>
  </si>
  <si>
    <t>direct+lr_only_cars_q4_budget8pct_embedding_kauto_emb-siglip-base-patch16-224</t>
  </si>
  <si>
    <t>direct+lr_only_cars_q4_budget9pct_embedding_kauto_emb-siglip-base-patch16-224</t>
  </si>
  <si>
    <t>direct+lr_only_cars_q4_budget10pct_embedding_kauto_emb-siglip-base-patch16-224</t>
  </si>
  <si>
    <t>random+lr_only_cars_q4_budget1pct_embedding_kauto_emb-siglip-base-patch16-224</t>
  </si>
  <si>
    <t>random+lr_only</t>
  </si>
  <si>
    <t>random+lr_only_cars_q4_budget2pct_embedding_kauto_emb-siglip-base-patch16-224</t>
  </si>
  <si>
    <t>random+lr_only_cars_q4_budget3pct_embedding_kauto_emb-siglip-base-patch16-224</t>
  </si>
  <si>
    <t>random+lr_only_cars_q4_budget4pct_embedding_kauto_emb-siglip-base-patch16-224</t>
  </si>
  <si>
    <t>random+lr_only_cars_q4_budget5pct_embedding_kauto_emb-siglip-base-patch16-224</t>
  </si>
  <si>
    <t>random+lr_only_cars_q4_budget6pct_embedding_kauto_emb-siglip-base-patch16-224</t>
  </si>
  <si>
    <t>random+lr_only_cars_q4_budget7pct_embedding_kauto_emb-siglip-base-patch16-224</t>
  </si>
  <si>
    <t>random+lr_only_cars_q4_budget8pct_embedding_kauto_emb-siglip-base-patch16-224</t>
  </si>
  <si>
    <t>random+lr_only_cars_q4_budget9pct_embedding_kauto_emb-siglip-base-patch16-224</t>
  </si>
  <si>
    <t>random+lr_only_cars_q4_budget10pct_embedding_kauto_emb-siglip-base-patch16-224</t>
  </si>
  <si>
    <t>direct+cs+trust_proxy_ecomm_q6_budget1pct_embedding_kauto_emb-siglip-base-patch16-224</t>
  </si>
  <si>
    <t>direct+cs+trust_proxy_ecomm_q6_budget2pct_embedding_kauto_emb-siglip-base-patch16-224</t>
  </si>
  <si>
    <t>direct+cs+trust_proxy_ecomm_q6_budget3pct_embedding_kauto_emb-siglip-base-patch16-224</t>
  </si>
  <si>
    <t>direct+cs+trust_proxy_ecomm_q6_budget4pct_embedding_kauto_emb-siglip-base-patch16-224</t>
  </si>
  <si>
    <t>direct+cs+trust_proxy_ecomm_q6_budget6pct_embedding_kauto_emb-siglip-base-patch16-224</t>
  </si>
  <si>
    <t>direct+cs+trust_proxy_ecomm_q6_budget7pct_embedding_kauto_emb-siglip-base-patch16-224</t>
  </si>
  <si>
    <t>direct+cs+trust_proxy_ecomm_q6_budget8pct_embedding_kauto_emb-siglip-base-patch16-224</t>
  </si>
  <si>
    <t>direct+cs+trust_proxy_ecomm_q6_budget9pct_embedding_kauto_emb-siglip-base-patch16-224</t>
  </si>
  <si>
    <t>direct+cs+dasp_topk_ecomm_q6_budget1pct_embedding_kauto_emb-siglip-base-patch16-224</t>
  </si>
  <si>
    <t>dasp_deferral_constant</t>
  </si>
  <si>
    <t>degenerate target on B_defer: wrong=0, right=6</t>
  </si>
  <si>
    <t>direct+cs+dasp_topk_ecomm_q6_budget2pct_embedding_kauto_emb-siglip-base-patch16-224</t>
  </si>
  <si>
    <t>direct+cs+dasp_topk_ecomm_q6_budget3pct_embedding_kauto_emb-siglip-base-patch16-224</t>
  </si>
  <si>
    <t>direct+cs+dasp_topk_ecomm_q6_budget4pct_embedding_kauto_emb-siglip-base-patch16-224</t>
  </si>
  <si>
    <t>direct+cs+dasp_topk_ecomm_q6_budget5pct_embedding_kauto_emb-siglip-base-patch16-224</t>
  </si>
  <si>
    <t>degenerate target on B_defer: wrong=1, right=11</t>
  </si>
  <si>
    <t>direct+cs+dasp_topk_ecomm_q6_budget6pct_embedding_kauto_emb-siglip-base-patch16-224</t>
  </si>
  <si>
    <t>degenerate target on B_defer: wrong=0, right=13</t>
  </si>
  <si>
    <t>direct+cs+dasp_topk_ecomm_q6_budget7pct_embedding_kauto_emb-siglip-base-patch16-224</t>
  </si>
  <si>
    <t>degenerate target on B_defer: wrong=1, right=16</t>
  </si>
  <si>
    <t>direct+cs+dasp_topk_ecomm_q6_budget8pct_embedding_kauto_emb-siglip-base-patch16-224</t>
  </si>
  <si>
    <t>degenerate target on B_defer: wrong=1, right=18</t>
  </si>
  <si>
    <t>direct+cs+dasp_topk_ecomm_q6_budget9pct_embedding_kauto_emb-siglip-base-patch16-224</t>
  </si>
  <si>
    <t>degenerate target on B_defer: wrong=1, right=21</t>
  </si>
  <si>
    <t>direct+cs+dasp_topk_ecomm_q6_budget10pct_embedding_kauto_emb-siglip-base-patch16-224</t>
  </si>
  <si>
    <t>uqe_active+lr_only_ecomm_q6_budget1pct_embedding_kauto_emb-siglip-base-patch16-224</t>
  </si>
  <si>
    <t>uqe_active+lr_only_ecomm_q6_budget2pct_embedding_kauto_emb-siglip-base-patch16-224</t>
  </si>
  <si>
    <t>uqe_active+lr_only_ecomm_q6_budget3pct_embedding_kauto_emb-siglip-base-patch16-224</t>
  </si>
  <si>
    <t>uqe_active+lr_only_ecomm_q6_budget4pct_embedding_kauto_emb-siglip-base-patch16-224</t>
  </si>
  <si>
    <t>uqe_active+lr_only_ecomm_q6_budget5pct_embedding_kauto_emb-siglip-base-patch16-224</t>
  </si>
  <si>
    <t>uqe_active+lr_only_ecomm_q6_budget6pct_embedding_kauto_emb-siglip-base-patch16-224</t>
  </si>
  <si>
    <t>uqe_active+lr_only_ecomm_q6_budget7pct_embedding_kauto_emb-siglip-base-patch16-224</t>
  </si>
  <si>
    <t>uqe_active+lr_only_ecomm_q6_budget8pct_embedding_kauto_emb-siglip-base-patch16-224</t>
  </si>
  <si>
    <t>uqe_active+lr_only_ecomm_q6_budget9pct_embedding_kauto_emb-siglip-base-patch16-224</t>
  </si>
  <si>
    <t>uqe_active+lr_only_ecomm_q6_budget10pct_embedding_kauto_emb-siglip-base-patch16-224</t>
  </si>
  <si>
    <t>random+cs_ecomm_q6_budget1pct_embedding_kauto_emb-siglip-base-patch16-224</t>
  </si>
  <si>
    <t>random+cs_ecomm_q6_budget2pct_embedding_kauto_emb-siglip-base-patch16-224</t>
  </si>
  <si>
    <t>random+cs_ecomm_q6_budget3pct_embedding_kauto_emb-siglip-base-patch16-224</t>
  </si>
  <si>
    <t>random+cs_ecomm_q6_budget4pct_embedding_kauto_emb-siglip-base-patch16-224</t>
  </si>
  <si>
    <t>random+cs_ecomm_q6_budget5pct_embedding_kauto_emb-siglip-base-patch16-224</t>
  </si>
  <si>
    <t>random+cs_ecomm_q6_budget6pct_embedding_kauto_emb-siglip-base-patch16-224</t>
  </si>
  <si>
    <t>random+cs_ecomm_q6_budget7pct_embedding_kauto_emb-siglip-base-patch16-224</t>
  </si>
  <si>
    <t>random+cs_ecomm_q6_budget8pct_embedding_kauto_emb-siglip-base-patch16-224</t>
  </si>
  <si>
    <t>random+cs_ecomm_q6_budget9pct_embedding_kauto_emb-siglip-base-patch16-224</t>
  </si>
  <si>
    <t>random+cs_ecomm_q6_budget10pct_embedding_kauto_emb-siglip-base-patch16-224</t>
  </si>
  <si>
    <t>direct+lr_only_ecomm_q6_budget1pct_embedding_kauto_emb-siglip-base-patch16-224</t>
  </si>
  <si>
    <t>direct+lr_only_ecomm_q6_budget2pct_embedding_kauto_emb-siglip-base-patch16-224</t>
  </si>
  <si>
    <t>direct+lr_only_ecomm_q6_budget3pct_embedding_kauto_emb-siglip-base-patch16-224</t>
  </si>
  <si>
    <t>direct+lr_only_ecomm_q6_budget4pct_embedding_kauto_emb-siglip-base-patch16-224</t>
  </si>
  <si>
    <t>direct+lr_only_ecomm_q6_budget5pct_embedding_kauto_emb-siglip-base-patch16-224</t>
  </si>
  <si>
    <t>direct+lr_only_ecomm_q6_budget6pct_embedding_kauto_emb-siglip-base-patch16-224</t>
  </si>
  <si>
    <t>direct+lr_only_ecomm_q6_budget7pct_embedding_kauto_emb-siglip-base-patch16-224</t>
  </si>
  <si>
    <t>direct+lr_only_ecomm_q6_budget8pct_embedding_kauto_emb-siglip-base-patch16-224</t>
  </si>
  <si>
    <t>direct+lr_only_ecomm_q6_budget9pct_embedding_kauto_emb-siglip-base-patch16-224</t>
  </si>
  <si>
    <t>direct+lr_only_ecomm_q6_budget10pct_embedding_kauto_emb-siglip-base-patch16-224</t>
  </si>
  <si>
    <t>random+lr_only_ecomm_q6_budget1pct_embedding_kauto_emb-siglip-base-patch16-224</t>
  </si>
  <si>
    <t>random+lr_only_ecomm_q6_budget2pct_embedding_kauto_emb-siglip-base-patch16-224</t>
  </si>
  <si>
    <t>random+lr_only_ecomm_q6_budget3pct_embedding_kauto_emb-siglip-base-patch16-224</t>
  </si>
  <si>
    <t>random+lr_only_ecomm_q6_budget4pct_embedding_kauto_emb-siglip-base-patch16-224</t>
  </si>
  <si>
    <t>random+lr_only_ecomm_q6_budget5pct_embedding_kauto_emb-siglip-base-patch16-224</t>
  </si>
  <si>
    <t>random+lr_only_ecomm_q6_budget6pct_embedding_kauto_emb-siglip-base-patch16-224</t>
  </si>
  <si>
    <t>random+lr_only_ecomm_q6_budget7pct_embedding_kauto_emb-siglip-base-patch16-224</t>
  </si>
  <si>
    <t>random+lr_only_ecomm_q6_budget8pct_embedding_kauto_emb-siglip-base-patch16-224</t>
  </si>
  <si>
    <t>random+lr_only_ecomm_q6_budget9pct_embedding_kauto_emb-siglip-base-patch16-224</t>
  </si>
  <si>
    <t>random+lr_only_ecomm_q6_budget10pct_embedding_kauto_emb-siglip-base-patch16-224</t>
  </si>
  <si>
    <t>direct+cs+trust_proxy_movie_q5_budget1pct_embedding_kauto_emb-siglip-base-patch16-224</t>
  </si>
  <si>
    <t>direct+cs+trust_proxy_movie_q5_budget2pct_embedding_kauto_emb-siglip-base-patch16-224</t>
  </si>
  <si>
    <t>direct+cs+trust_proxy_movie_q5_budget3pct_embedding_kauto_emb-siglip-base-patch16-224</t>
  </si>
  <si>
    <t>direct+cs+trust_proxy_movie_q5_budget4pct_embedding_kauto_emb-siglip-base-patch16-224</t>
  </si>
  <si>
    <t>direct+cs+trust_proxy_movie_q5_budget6pct_embedding_kauto_emb-siglip-base-patch16-224</t>
  </si>
  <si>
    <t>direct+cs+trust_proxy_movie_q5_budget7pct_embedding_kauto_emb-siglip-base-patch16-224</t>
  </si>
  <si>
    <t>direct+cs+trust_proxy_movie_q5_budget8pct_embedding_kauto_emb-siglip-base-patch16-224</t>
  </si>
  <si>
    <t>direct+cs+trust_proxy_movie_q5_budget9pct_embedding_kauto_emb-siglip-base-patch16-224</t>
  </si>
  <si>
    <t>direct+cs+dasp_topk_movie_q5_budget1pct_embedding_kauto_emb-siglip-base-patch16-224</t>
  </si>
  <si>
    <t>direct+cs+dasp_topk_movie_q5_budget2pct_embedding_kauto_emb-siglip-base-patch16-224</t>
  </si>
  <si>
    <t>direct+cs+dasp_topk_movie_q5_budget3pct_embedding_kauto_emb-siglip-base-patch16-224</t>
  </si>
  <si>
    <t>direct+cs+dasp_topk_movie_q5_budget4pct_embedding_kauto_emb-siglip-base-patch16-224</t>
  </si>
  <si>
    <t>direct+cs+dasp_topk_movie_q5_budget5pct_embedding_kauto_emb-siglip-base-patch16-224</t>
  </si>
  <si>
    <t>direct+cs+dasp_topk_movie_q5_budget6pct_embedding_kauto_emb-siglip-base-patch16-224</t>
  </si>
  <si>
    <t>direct+cs+dasp_topk_movie_q5_budget7pct_embedding_kauto_emb-siglip-base-patch16-224</t>
  </si>
  <si>
    <t>direct+cs+dasp_topk_movie_q5_budget8pct_embedding_kauto_emb-siglip-base-patch16-224</t>
  </si>
  <si>
    <t>direct+cs+dasp_topk_movie_q5_budget9pct_embedding_kauto_emb-siglip-base-patch16-224</t>
  </si>
  <si>
    <t>direct+cs+dasp_topk_movie_q5_budget10pct_embedding_kauto_emb-siglip-base-patch16-224</t>
  </si>
  <si>
    <t>uqe_active+lr_only_movie_q5_budget1pct_embedding_kauto_emb-siglip-base-patch16-224</t>
  </si>
  <si>
    <t>uqe_active+lr_only_movie_q5_budget2pct_embedding_kauto_emb-siglip-base-patch16-224</t>
  </si>
  <si>
    <t>uqe_active+lr_only_movie_q5_budget3pct_embedding_kauto_emb-siglip-base-patch16-224</t>
  </si>
  <si>
    <t>uqe_active+lr_only_movie_q5_budget4pct_embedding_kauto_emb-siglip-base-patch16-224</t>
  </si>
  <si>
    <t>uqe_active+lr_only_movie_q5_budget5pct_embedding_kauto_emb-siglip-base-patch16-224</t>
  </si>
  <si>
    <t>uqe_active+lr_only_movie_q5_budget6pct_embedding_kauto_emb-siglip-base-patch16-224</t>
  </si>
  <si>
    <t>uqe_active+lr_only_movie_q5_budget7pct_embedding_kauto_emb-siglip-base-patch16-224</t>
  </si>
  <si>
    <t>uqe_active+lr_only_movie_q5_budget8pct_embedding_kauto_emb-siglip-base-patch16-224</t>
  </si>
  <si>
    <t>uqe_active+lr_only_movie_q5_budget9pct_embedding_kauto_emb-siglip-base-patch16-224</t>
  </si>
  <si>
    <t>uqe_active+lr_only_movie_q5_budget10pct_embedding_kauto_emb-siglip-base-patch16-224</t>
  </si>
  <si>
    <t>random+cs_movie_q5_budget1pct_embedding_kauto_emb-siglip-base-patch16-224</t>
  </si>
  <si>
    <t>random+cs_movie_q5_budget2pct_embedding_kauto_emb-siglip-base-patch16-224</t>
  </si>
  <si>
    <t>random+cs_movie_q5_budget3pct_embedding_kauto_emb-siglip-base-patch16-224</t>
  </si>
  <si>
    <t>random+cs_movie_q5_budget4pct_embedding_kauto_emb-siglip-base-patch16-224</t>
  </si>
  <si>
    <t>random+cs_movie_q5_budget5pct_embedding_kauto_emb-siglip-base-patch16-224</t>
  </si>
  <si>
    <t>random+cs_movie_q5_budget6pct_embedding_kauto_emb-siglip-base-patch16-224</t>
  </si>
  <si>
    <t>random+cs_movie_q5_budget7pct_embedding_kauto_emb-siglip-base-patch16-224</t>
  </si>
  <si>
    <t>random+cs_movie_q5_budget8pct_embedding_kauto_emb-siglip-base-patch16-224</t>
  </si>
  <si>
    <t>random+cs_movie_q5_budget9pct_embedding_kauto_emb-siglip-base-patch16-224</t>
  </si>
  <si>
    <t>random+cs_movie_q5_budget10pct_embedding_kauto_emb-siglip-base-patch16-224</t>
  </si>
  <si>
    <t>direct+lr_only_movie_q5_budget1pct_embedding_kauto_emb-siglip-base-patch16-224</t>
  </si>
  <si>
    <t>direct+lr_only_movie_q5_budget2pct_embedding_kauto_emb-siglip-base-patch16-224</t>
  </si>
  <si>
    <t>direct+lr_only_movie_q5_budget3pct_embedding_kauto_emb-siglip-base-patch16-224</t>
  </si>
  <si>
    <t>direct+lr_only_movie_q5_budget4pct_embedding_kauto_emb-siglip-base-patch16-224</t>
  </si>
  <si>
    <t>direct+lr_only_movie_q5_budget5pct_embedding_kauto_emb-siglip-base-patch16-224</t>
  </si>
  <si>
    <t>direct+lr_only_movie_q5_budget6pct_embedding_kauto_emb-siglip-base-patch16-224</t>
  </si>
  <si>
    <t>direct+lr_only_movie_q5_budget7pct_embedding_kauto_emb-siglip-base-patch16-224</t>
  </si>
  <si>
    <t>direct+lr_only_movie_q5_budget8pct_embedding_kauto_emb-siglip-base-patch16-224</t>
  </si>
  <si>
    <t>direct+lr_only_movie_q5_budget9pct_embedding_kauto_emb-siglip-base-patch16-224</t>
  </si>
  <si>
    <t>direct+lr_only_movie_q5_budget10pct_embedding_kauto_emb-siglip-base-patch16-224</t>
  </si>
  <si>
    <t>random+lr_only_movie_q5_budget1pct_embedding_kauto_emb-siglip-base-patch16-224</t>
  </si>
  <si>
    <t>random+lr_only_movie_q5_budget2pct_embedding_kauto_emb-siglip-base-patch16-224</t>
  </si>
  <si>
    <t>random+lr_only_movie_q5_budget3pct_embedding_kauto_emb-siglip-base-patch16-224</t>
  </si>
  <si>
    <t>random+lr_only_movie_q5_budget4pct_embedding_kauto_emb-siglip-base-patch16-224</t>
  </si>
  <si>
    <t>random+lr_only_movie_q5_budget5pct_embedding_kauto_emb-siglip-base-patch16-224</t>
  </si>
  <si>
    <t>random+lr_only_movie_q5_budget6pct_embedding_kauto_emb-siglip-base-patch16-224</t>
  </si>
  <si>
    <t>random+lr_only_movie_q5_budget7pct_embedding_kauto_emb-siglip-base-patch16-224</t>
  </si>
  <si>
    <t>random+lr_only_movie_q5_budget8pct_embedding_kauto_emb-siglip-base-patch16-224</t>
  </si>
  <si>
    <t>random+lr_only_movie_q5_budget9pct_embedding_kauto_emb-siglip-base-patch16-224</t>
  </si>
  <si>
    <t>random+lr_only_movie_q5_budget10pct_embedding_kauto_emb-siglip-base-patch16-224</t>
  </si>
  <si>
    <t>picked_budget_pct</t>
  </si>
  <si>
    <t>direct+cs F1</t>
  </si>
  <si>
    <t>direct+cs latency_s</t>
  </si>
  <si>
    <t>cs only latency changes</t>
  </si>
  <si>
    <t>direct+cs llm_calls</t>
  </si>
  <si>
    <t>random+cs F1</t>
  </si>
  <si>
    <t>random+cs latency_s</t>
  </si>
  <si>
    <t>random+cs llm_calls</t>
  </si>
  <si>
    <t>active sampling time</t>
  </si>
  <si>
    <t>direct+lr_only F1</t>
  </si>
  <si>
    <t>direct+lr_only latency_s</t>
  </si>
  <si>
    <t>label propgation time</t>
  </si>
  <si>
    <t>direct+lr_only llm_calls</t>
  </si>
  <si>
    <t>random+lr_only F1</t>
  </si>
  <si>
    <t>random+lr_only latency_s</t>
  </si>
  <si>
    <t>random+lr_only llm_calls</t>
  </si>
  <si>
    <t>topk+lr_only F1</t>
  </si>
  <si>
    <t>topk+lr_only Latency</t>
  </si>
  <si>
    <t>uqe+lr_only F1</t>
  </si>
  <si>
    <t>uqe+lr_only Latency</t>
  </si>
  <si>
    <t>kind</t>
  </si>
  <si>
    <t>n_records</t>
  </si>
  <si>
    <t>budget</t>
  </si>
  <si>
    <t>target</t>
  </si>
  <si>
    <t>delta</t>
  </si>
  <si>
    <t>n_positives</t>
  </si>
  <si>
    <t>oracle_calls</t>
  </si>
  <si>
    <t>oracle_frac</t>
  </si>
  <si>
    <t>elapsed_sec</t>
  </si>
  <si>
    <t>join</t>
  </si>
  <si>
    <t>multimodal</t>
  </si>
  <si>
    <t>filter</t>
  </si>
  <si>
    <t>system</t>
  </si>
  <si>
    <t>F1</t>
  </si>
  <si>
    <t>Lotus</t>
  </si>
  <si>
    <t>ThalamusDB</t>
  </si>
  <si>
    <t>Palimpzest</t>
  </si>
  <si>
    <t>Baseline(SparkSQL)</t>
  </si>
  <si>
    <t>Ours</t>
  </si>
  <si>
    <t>UQE</t>
  </si>
  <si>
    <t>BARGAIN</t>
  </si>
  <si>
    <t>latency_s</t>
  </si>
  <si>
    <t>strategy</t>
  </si>
  <si>
    <t>budget_sample</t>
  </si>
  <si>
    <t>budget_used</t>
  </si>
  <si>
    <t>f1_mean</t>
  </si>
  <si>
    <t>f1_std</t>
  </si>
  <si>
    <t>delegation_rate_mean</t>
  </si>
  <si>
    <t>delegation_rate_std</t>
  </si>
  <si>
    <t>llm_calls_mean</t>
  </si>
  <si>
    <t>llm_calls_std</t>
  </si>
  <si>
    <t>n_total</t>
  </si>
  <si>
    <t>n_runs</t>
  </si>
  <si>
    <t>proxy_only</t>
  </si>
  <si>
    <t>proxy+defer</t>
  </si>
  <si>
    <t>LLM_only</t>
  </si>
  <si>
    <t>Full LLM</t>
  </si>
  <si>
    <t>New result</t>
  </si>
  <si>
    <t>sampling_budget_pct</t>
  </si>
  <si>
    <t>f1_dasp_topk</t>
  </si>
  <si>
    <t>f1_trust_proxy</t>
  </si>
  <si>
    <t>delta_f1</t>
  </si>
  <si>
    <t>latency_dasp_topk</t>
  </si>
  <si>
    <t>latency_trust_proxy</t>
  </si>
  <si>
    <t>used_bp_dasp_topk</t>
  </si>
  <si>
    <t>used_bp_trust_proxy</t>
  </si>
  <si>
    <t>delta_used_bp</t>
  </si>
  <si>
    <t>latency</t>
  </si>
  <si>
    <t>Ussed Budget</t>
  </si>
  <si>
    <t>no router(pareto frontier point)</t>
  </si>
  <si>
    <t>router(same sampling budget)</t>
  </si>
  <si>
    <t>router(total LLM usage, same sampling budget as left)</t>
  </si>
  <si>
    <t>router(pareto frontier point, samping budget)</t>
  </si>
  <si>
    <t>router(pareto frontier point, total budget)</t>
  </si>
  <si>
    <t>LRO_113</t>
  </si>
  <si>
    <t>LRO_121</t>
  </si>
  <si>
    <t>LRO_202</t>
  </si>
  <si>
    <t>LRO_305</t>
  </si>
  <si>
    <t>Embedding (s)</t>
  </si>
  <si>
    <t>Sampling (s)</t>
  </si>
  <si>
    <t>Labeling (s)</t>
  </si>
  <si>
    <t>Proxy Train (s)</t>
  </si>
  <si>
    <t>Proxy Predict (s)</t>
  </si>
  <si>
    <t>Label Propagation (s)</t>
  </si>
  <si>
    <t>lro_113</t>
  </si>
  <si>
    <t>lro_121</t>
  </si>
  <si>
    <t>lro_202</t>
  </si>
  <si>
    <t>lro_305</t>
  </si>
  <si>
    <t>F1_mean</t>
  </si>
  <si>
    <t>ΔF1_mean</t>
  </si>
  <si>
    <t>speedup_geomean</t>
  </si>
  <si>
    <t>cost_reduction_geomean</t>
  </si>
  <si>
    <t>n_F1</t>
  </si>
  <si>
    <t>n_Δ</t>
  </si>
  <si>
    <t>n_speedup</t>
  </si>
  <si>
    <t>n_cost</t>
  </si>
  <si>
    <t>ΔF1 (dc - rlro)</t>
  </si>
  <si>
    <t>speedup (rlro / dc)</t>
  </si>
  <si>
    <t>ΔF1 (dc - Full LLM)</t>
  </si>
  <si>
    <t>speedup (Full LLM / dc)</t>
  </si>
  <si>
    <t>direct+cs</t>
  </si>
  <si>
    <t>baseline</t>
  </si>
  <si>
    <t>clip-vit-base-patch32</t>
  </si>
  <si>
    <t>clip-vit-large-patch14-336</t>
  </si>
  <si>
    <t>gme-Qwen2-VL-2B-Instruct</t>
  </si>
  <si>
    <t>all-MiniLM-L6-v2</t>
  </si>
  <si>
    <t>Query</t>
  </si>
  <si>
    <t>Embedding (short)</t>
  </si>
  <si>
    <t>Embedding (full)</t>
  </si>
  <si>
    <t>direct+cs (best F1)</t>
  </si>
  <si>
    <t>SigLIP</t>
  </si>
  <si>
    <t>CLIP-B</t>
  </si>
  <si>
    <t>CLIP-L</t>
  </si>
  <si>
    <t>GME</t>
  </si>
  <si>
    <t>MiniLM</t>
  </si>
  <si>
    <t>model</t>
  </si>
  <si>
    <t>dcs_F1</t>
  </si>
  <si>
    <t>noopt_F1</t>
  </si>
  <si>
    <t>F1_delta</t>
  </si>
  <si>
    <t>dcs_lat</t>
  </si>
  <si>
    <t>noopt_lat</t>
  </si>
  <si>
    <t>speedup</t>
  </si>
  <si>
    <t>source</t>
  </si>
  <si>
    <t>Qwen3.6-35B-A3B</t>
  </si>
  <si>
    <t>csv:direct+cs+dasp_topk (mean of budgets &lt;100%)</t>
  </si>
  <si>
    <t>InternVL3_5-30B-A3B</t>
  </si>
  <si>
    <t>Qwen3-VL-30B-A3B-Instruct</t>
  </si>
  <si>
    <t>plotdata: Ours vs Baseline(SparkSQL)</t>
  </si>
  <si>
    <t>GLM-4.5V</t>
  </si>
  <si>
    <t>n_queries</t>
  </si>
  <si>
    <t>query_coverage</t>
  </si>
  <si>
    <t>F1_noopt_mean</t>
  </si>
  <si>
    <t>F1_dcs_mean</t>
  </si>
  <si>
    <t>F1_delta_mean</t>
  </si>
  <si>
    <t>speedup_max</t>
  </si>
  <si>
    <t>ecomm+match</t>
  </si>
  <si>
    <t>ecomm-only</t>
  </si>
  <si>
    <t># topk_animals_q1_grid_summary.csv</t>
  </si>
  <si>
    <t>top_k+lr_only_animals_q1_budget5pct_embedding_kauto_emb-siglip-base-patch16-224</t>
  </si>
  <si>
    <t>top_k+lr_only</t>
  </si>
  <si>
    <t>False</t>
  </si>
  <si>
    <t>top_k+lr_only_animals_q1_budget10pct_embedding_kauto_emb-siglip-base-patch16-224</t>
  </si>
  <si>
    <t>top_k+lr_only_animals_q1_budget15pct_embedding_kauto_emb-siglip-base-patch16-224</t>
  </si>
  <si>
    <t>top_k+lr_only_animals_q1_budget20pct_embedding_kauto_emb-siglip-base-patch16-224</t>
  </si>
  <si>
    <t>top_k+lr_only_animals_q1_budget25pct_embedding_kauto_emb-siglip-base-patch16-224</t>
  </si>
  <si>
    <t>direct+lr_only_animals_q1_budget5pct_embedding_kauto_emb-siglip-base-patch16-224</t>
  </si>
  <si>
    <t>direct+lr_only_animals_q1_budget10pct_embedding_kauto_emb-siglip-base-patch16-224</t>
  </si>
  <si>
    <t>direct+lr_only_animals_q1_budget15pct_embedding_kauto_emb-siglip-base-patch16-224</t>
  </si>
  <si>
    <t>direct+lr_only_animals_q1_budget20pct_embedding_kauto_emb-siglip-base-patch16-224</t>
  </si>
  <si>
    <t>direct+lr_only_animals_q1_budget25pct_embedding_kauto_emb-siglip-base-patch16-224</t>
  </si>
  <si>
    <t># topk_cars_grid_summary.csv</t>
  </si>
  <si>
    <t>cars_q1</t>
  </si>
  <si>
    <t>top_k+lr_only_cars_q1_budget2pct_embedding_kauto_emb-siglip-base-patch16-224</t>
  </si>
  <si>
    <t>top_k+lr_only_cars_q1_budget4pct_embedding_kauto_emb-siglip-base-patch16-224</t>
  </si>
  <si>
    <t>top_k+lr_only_cars_q1_budget6pct_embedding_kauto_emb-siglip-base-patch16-224</t>
  </si>
  <si>
    <t>top_k+lr_only_cars_q1_budget8pct_embedding_kauto_emb-siglip-base-patch16-224</t>
  </si>
  <si>
    <t>top_k+lr_only_cars_q1_budget10pct_embedding_kauto_emb-siglip-base-patch16-224</t>
  </si>
  <si>
    <t>direct+lr_only_cars_q1_budget2pct_embedding_kauto_emb-siglip-base-patch16-224</t>
  </si>
  <si>
    <t>direct+lr_only_cars_q1_budget4pct_embedding_kauto_emb-siglip-base-patch16-224</t>
  </si>
  <si>
    <t>direct+lr_only_cars_q1_budget6pct_embedding_kauto_emb-siglip-base-patch16-224</t>
  </si>
  <si>
    <t>direct+lr_only_cars_q1_budget8pct_embedding_kauto_emb-siglip-base-patch16-224</t>
  </si>
  <si>
    <t>direct+lr_only_cars_q1_budget10pct_embedding_kauto_emb-siglip-base-patch16-224</t>
  </si>
  <si>
    <t>top_k+lr_only_cars_q3_budget2pct_embedding_kauto_emb-siglip-base-patch16-224</t>
  </si>
  <si>
    <t>top_k+lr_only_cars_q3_budget4pct_embedding_kauto_emb-siglip-base-patch16-224</t>
  </si>
  <si>
    <t>top_k+lr_only_cars_q3_budget6pct_embedding_kauto_emb-siglip-base-patch16-224</t>
  </si>
  <si>
    <t>top_k+lr_only_cars_q3_budget8pct_embedding_kauto_emb-siglip-base-patch16-224</t>
  </si>
  <si>
    <t>top_k+lr_only_cars_q3_budget10pct_embedding_kauto_emb-siglip-base-patch16-224</t>
  </si>
  <si>
    <t>direct+lr_only_cars_q3_budget2pct_embedding_kauto_emb-siglip-base-patch16-224</t>
  </si>
  <si>
    <t>direct+lr_only_cars_q3_budget4pct_embedding_kauto_emb-siglip-base-patch16-224</t>
  </si>
  <si>
    <t>direct+lr_only_cars_q3_budget6pct_embedding_kauto_emb-siglip-base-patch16-224</t>
  </si>
  <si>
    <t>direct+lr_only_cars_q3_budget8pct_embedding_kauto_emb-siglip-base-patch16-224</t>
  </si>
  <si>
    <t>direct+lr_only_cars_q3_budget10pct_embedding_kauto_emb-siglip-base-patch16-224</t>
  </si>
  <si>
    <t>top_k+lr_only_cars_q4_budget2pct_embedding_kauto_emb-siglip-base-patch16-224</t>
  </si>
  <si>
    <t>top_k+lr_only_cars_q4_budget4pct_embedding_kauto_emb-siglip-base-patch16-224</t>
  </si>
  <si>
    <t>top_k+lr_only_cars_q4_budget6pct_embedding_kauto_emb-siglip-base-patch16-224</t>
  </si>
  <si>
    <t>top_k+lr_only_cars_q4_budget8pct_embedding_kauto_emb-siglip-base-patch16-224</t>
  </si>
  <si>
    <t>top_k+lr_only_cars_q4_budget10pct_embedding_kauto_emb-siglip-base-patch16-224</t>
  </si>
  <si>
    <t>top_k+lr_only_cars_q8_budget2pct_embedding_kauto_emb-siglip-base-patch16-224</t>
  </si>
  <si>
    <t>top_k+lr_only_cars_q8_budget4pct_embedding_kauto_emb-siglip-base-patch16-224</t>
  </si>
  <si>
    <t>top_k+lr_only_cars_q8_budget6pct_embedding_kauto_emb-siglip-base-patch16-224</t>
  </si>
  <si>
    <t>top_k+lr_only_cars_q8_budget8pct_embedding_kauto_emb-siglip-base-patch16-224</t>
  </si>
  <si>
    <t>top_k+lr_only_cars_q8_budget10pct_embedding_kauto_emb-siglip-base-patch16-224</t>
  </si>
  <si>
    <t>direct+lr_only_cars_q8_budget2pct_embedding_kauto_emb-siglip-base-patch16-224</t>
  </si>
  <si>
    <t>direct+lr_only_cars_q8_budget4pct_embedding_kauto_emb-siglip-base-patch16-224</t>
  </si>
  <si>
    <t>direct+lr_only_cars_q8_budget6pct_embedding_kauto_emb-siglip-base-patch16-224</t>
  </si>
  <si>
    <t>direct+lr_only_cars_q8_budget8pct_embedding_kauto_emb-siglip-base-patch16-224</t>
  </si>
  <si>
    <t>direct+lr_only_cars_q8_budget10pct_embedding_kauto_emb-siglip-base-patch16-224</t>
  </si>
  <si>
    <t># topk_ecomm_grid_summary.csv</t>
  </si>
  <si>
    <t>top_k+lr_only_ecomm_q7_budget5pct_embedding_kauto_emb-siglip-base-patch16-224</t>
  </si>
  <si>
    <t>top_k+lr_only_ecomm_q7_budget10pct_embedding_kauto_emb-siglip-base-patch16-224</t>
  </si>
  <si>
    <t>top_k+lr_only_ecomm_q7_budget15pct_embedding_kauto_emb-siglip-base-patch16-224</t>
  </si>
  <si>
    <t>top_k+lr_only_ecomm_q7_budget20pct_embedding_kauto_emb-siglip-base-patch16-224</t>
  </si>
  <si>
    <t>top_k+lr_only_ecomm_q7_budget25pct_embedding_kauto_emb-siglip-base-patch16-224</t>
  </si>
  <si>
    <t>direct+lr_only_ecomm_q7_budget5pct_embedding_kauto_emb-siglip-base-patch16-224</t>
  </si>
  <si>
    <t>direct+lr_only_ecomm_q7_budget10pct_embedding_kauto_emb-siglip-base-patch16-224</t>
  </si>
  <si>
    <t>direct+lr_only_ecomm_q7_budget15pct_embedding_kauto_emb-siglip-base-patch16-224</t>
  </si>
  <si>
    <t>direct+lr_only_ecomm_q7_budget20pct_embedding_kauto_emb-siglip-base-patch16-224</t>
  </si>
  <si>
    <t>direct+lr_only_ecomm_q7_budget25pct_embedding_kauto_emb-siglip-base-patch16-224</t>
  </si>
  <si>
    <t>top_k+lr_only_ecomm_q8_budget5pct_embedding_kauto_emb-siglip-base-patch16-224</t>
  </si>
  <si>
    <t>top_k+lr_only_ecomm_q8_budget10pct_embedding_kauto_emb-siglip-base-patch16-224</t>
  </si>
  <si>
    <t>top_k+lr_only_ecomm_q8_budget15pct_embedding_kauto_emb-siglip-base-patch16-224</t>
  </si>
  <si>
    <t>top_k+lr_only_ecomm_q8_budget20pct_embedding_kauto_emb-siglip-base-patch16-224</t>
  </si>
  <si>
    <t>top_k+lr_only_ecomm_q8_budget25pct_embedding_kauto_emb-siglip-base-patch16-224</t>
  </si>
  <si>
    <t>direct+lr_only_ecomm_q8_budget5pct_embedding_kauto_emb-siglip-base-patch16-224</t>
  </si>
  <si>
    <t>direct+lr_only_ecomm_q8_budget10pct_embedding_kauto_emb-siglip-base-patch16-224</t>
  </si>
  <si>
    <t>direct+lr_only_ecomm_q8_budget15pct_embedding_kauto_emb-siglip-base-patch16-224</t>
  </si>
  <si>
    <t>direct+lr_only_ecomm_q8_budget20pct_embedding_kauto_emb-siglip-base-patch16-224</t>
  </si>
  <si>
    <t>direct+lr_only_ecomm_q8_budget25pct_embedding_kauto_emb-siglip-base-patch16-224</t>
  </si>
  <si>
    <t>top_k+lr_only_ecomm_q9_budget5pct_embedding_kauto_emb-siglip-base-patch16-224</t>
  </si>
  <si>
    <t>top_k+lr_only_ecomm_q9_budget10pct_embedding_kauto_emb-siglip-base-patch16-224</t>
  </si>
  <si>
    <t>top_k+lr_only_ecomm_q9_budget15pct_embedding_kauto_emb-siglip-base-patch16-224</t>
  </si>
  <si>
    <t>top_k+lr_only_ecomm_q9_budget20pct_embedding_kauto_emb-siglip-base-patch16-224</t>
  </si>
  <si>
    <t>top_k+lr_only_ecomm_q9_budget25pct_embedding_kauto_emb-siglip-base-patch16-224</t>
  </si>
  <si>
    <t>direct+lr_only_ecomm_q9_budget5pct_embedding_kauto_emb-siglip-base-patch16-224</t>
  </si>
  <si>
    <t>direct+lr_only_ecomm_q9_budget10pct_embedding_kauto_emb-siglip-base-patch16-224</t>
  </si>
  <si>
    <t>direct+lr_only_ecomm_q9_budget15pct_embedding_kauto_emb-siglip-base-patch16-224</t>
  </si>
  <si>
    <t>direct+lr_only_ecomm_q9_budget20pct_embedding_kauto_emb-siglip-base-patch16-224</t>
  </si>
  <si>
    <t>direct+lr_only_ecomm_q9_budget25pct_embedding_kauto_emb-siglip-base-patch16-224</t>
  </si>
  <si>
    <t>top_k+lr_only_ecomm_q13_budget5pct_embedding_kauto_emb-siglip-base-patch16-224</t>
  </si>
  <si>
    <t>top_k+lr_only_ecomm_q13_budget10pct_embedding_kauto_emb-siglip-base-patch16-224</t>
  </si>
  <si>
    <t>top_k+lr_only_ecomm_q13_budget15pct_embedding_kauto_emb-siglip-base-patch16-224</t>
  </si>
  <si>
    <t>top_k+lr_only_ecomm_q13_budget20pct_embedding_kauto_emb-siglip-base-patch16-224</t>
  </si>
  <si>
    <t>top_k+lr_only_ecomm_q13_budget25pct_embedding_kauto_emb-siglip-base-patch16-224</t>
  </si>
  <si>
    <t>direct+lr_only_ecomm_q13_budget5pct_embedding_kauto_emb-siglip-base-patch16-224</t>
  </si>
  <si>
    <t>direct+lr_only_ecomm_q13_budget10pct_embedding_kauto_emb-siglip-base-patch16-224</t>
  </si>
  <si>
    <t>direct+lr_only_ecomm_q13_budget15pct_embedding_kauto_emb-siglip-base-patch16-224</t>
  </si>
  <si>
    <t>direct+lr_only_ecomm_q13_budget20pct_embedding_kauto_emb-siglip-base-patch16-224</t>
  </si>
  <si>
    <t>direct+lr_only_ecomm_q13_budget25pct_embedding_kauto_emb-siglip-base-patch16-224</t>
  </si>
  <si>
    <t># topk_match_grid_summary.csv</t>
  </si>
  <si>
    <t>top_k+lr_only_match113_budget5pct_embedding_kauto_emb-siglip-base-patch16-224</t>
  </si>
  <si>
    <t>top_k+lr_only_match113_budget10pct_embedding_kauto_emb-siglip-base-patch16-224</t>
  </si>
  <si>
    <t>top_k+lr_only_match113_budget15pct_embedding_kauto_emb-siglip-base-patch16-224</t>
  </si>
  <si>
    <t>top_k+lr_only_match113_budget20pct_embedding_kauto_emb-siglip-base-patch16-224</t>
  </si>
  <si>
    <t>top_k+lr_only_match113_budget25pct_embedding_kauto_emb-siglip-base-patch16-224</t>
  </si>
  <si>
    <t>direct+lr_only_match113_budget5pct_embedding_kauto_emb-siglip-base-patch16-224</t>
  </si>
  <si>
    <t>direct+lr_only_match113_budget10pct_embedding_kauto_emb-siglip-base-patch16-224</t>
  </si>
  <si>
    <t>direct+lr_only_match113_budget15pct_embedding_kauto_emb-siglip-base-patch16-224</t>
  </si>
  <si>
    <t>direct+lr_only_match113_budget20pct_embedding_kauto_emb-siglip-base-patch16-224</t>
  </si>
  <si>
    <t>direct+lr_only_match113_budget25pct_embedding_kauto_emb-siglip-base-patch16-224</t>
  </si>
  <si>
    <t>top_k+lr_only_match121_budget5pct_embedding_kauto_emb-siglip-base-patch16-224</t>
  </si>
  <si>
    <t>top_k+lr_only_match121_budget10pct_embedding_kauto_emb-siglip-base-patch16-224</t>
  </si>
  <si>
    <t>top_k+lr_only_match121_budget15pct_embedding_kauto_emb-siglip-base-patch16-224</t>
  </si>
  <si>
    <t>top_k+lr_only_match121_budget20pct_embedding_kauto_emb-siglip-base-patch16-224</t>
  </si>
  <si>
    <t>top_k+lr_only_match121_budget25pct_embedding_kauto_emb-siglip-base-patch16-224</t>
  </si>
  <si>
    <t>direct+lr_only_match121_budget5pct_embedding_kauto_emb-siglip-base-patch16-224</t>
  </si>
  <si>
    <t>direct+lr_only_match121_budget10pct_embedding_kauto_emb-siglip-base-patch16-224</t>
  </si>
  <si>
    <t>direct+lr_only_match121_budget15pct_embedding_kauto_emb-siglip-base-patch16-224</t>
  </si>
  <si>
    <t>direct+lr_only_match121_budget20pct_embedding_kauto_emb-siglip-base-patch16-224</t>
  </si>
  <si>
    <t>direct+lr_only_match121_budget25pct_embedding_kauto_emb-siglip-base-patch16-224</t>
  </si>
  <si>
    <t>top_k+lr_only_match202_budget5pct_embedding_kauto_emb-siglip-base-patch16-224</t>
  </si>
  <si>
    <t>top_k+lr_only_match202_budget10pct_embedding_kauto_emb-siglip-base-patch16-224</t>
  </si>
  <si>
    <t>top_k+lr_only_match202_budget15pct_embedding_kauto_emb-siglip-base-patch16-224</t>
  </si>
  <si>
    <t>top_k+lr_only_match202_budget20pct_embedding_kauto_emb-siglip-base-patch16-224</t>
  </si>
  <si>
    <t>top_k+lr_only_match202_budget25pct_embedding_kauto_emb-siglip-base-patch16-224</t>
  </si>
  <si>
    <t>direct+lr_only_match202_budget5pct_embedding_kauto_emb-siglip-base-patch16-224</t>
  </si>
  <si>
    <t>direct+lr_only_match202_budget10pct_embedding_kauto_emb-siglip-base-patch16-224</t>
  </si>
  <si>
    <t>direct+lr_only_match202_budget15pct_embedding_kauto_emb-siglip-base-patch16-224</t>
  </si>
  <si>
    <t>direct+lr_only_match202_budget20pct_embedding_kauto_emb-siglip-base-patch16-224</t>
  </si>
  <si>
    <t>direct+lr_only_match202_budget25pct_embedding_kauto_emb-siglip-base-patch16-224</t>
  </si>
  <si>
    <t>top_k+lr_only_match305_budget5pct_embedding_kauto_emb-siglip-base-patch16-224</t>
  </si>
  <si>
    <t>top_k+lr_only_match305_budget10pct_embedding_kauto_emb-siglip-base-patch16-224</t>
  </si>
  <si>
    <t>top_k+lr_only_match305_budget15pct_embedding_kauto_emb-siglip-base-patch16-224</t>
  </si>
  <si>
    <t>top_k+lr_only_match305_budget20pct_embedding_kauto_emb-siglip-base-patch16-224</t>
  </si>
  <si>
    <t>top_k+lr_only_match305_budget25pct_embedding_kauto_emb-siglip-base-patch16-224</t>
  </si>
  <si>
    <t>direct+lr_only_match305_budget5pct_embedding_kauto_emb-siglip-base-patch16-224</t>
  </si>
  <si>
    <t>direct+lr_only_match305_budget10pct_embedding_kauto_emb-siglip-base-patch16-224</t>
  </si>
  <si>
    <t>direct+lr_only_match305_budget15pct_embedding_kauto_emb-siglip-base-patch16-224</t>
  </si>
  <si>
    <t>direct+lr_only_match305_budget20pct_embedding_kauto_emb-siglip-base-patch16-224</t>
  </si>
  <si>
    <t>direct+lr_only_match305_budget25pct_embedding_kauto_emb-siglip-base-patch16-224</t>
  </si>
  <si>
    <t># topk_mmqa.csv</t>
  </si>
  <si>
    <t>top_k+lr_only_mmqa_q2a_budget0.25pct_embedding_kauto_emb-siglip-base-patch16-224</t>
  </si>
  <si>
    <t>top_k+lr_only_mmqa_q2a_budget0.5pct_embedding_kauto_emb-siglip-base-patch16-224</t>
  </si>
  <si>
    <t>top_k+lr_only_mmqa_q2a_budget0.75pct_embedding_kauto_emb-siglip-base-patch16-224</t>
  </si>
  <si>
    <t>top_k+lr_only_mmqa_q2a_budget1pct_embedding_kauto_emb-siglip-base-patch16-224</t>
  </si>
  <si>
    <t>top_k+lr_only_mmqa_q2a_budget1.25pct_embedding_kauto_emb-siglip-base-patch16-224</t>
  </si>
  <si>
    <t>direct+lr_only_mmqa_q2a_budget0.25pct_embedding_kauto_emb-siglip-base-patch16-224</t>
  </si>
  <si>
    <t>direct+lr_only_mmqa_q2a_budget0.5pct_embedding_kauto_emb-siglip-base-patch16-224</t>
  </si>
  <si>
    <t>direct+lr_only_mmqa_q2a_budget0.75pct_embedding_kauto_emb-siglip-base-patch16-224</t>
  </si>
  <si>
    <t>direct+lr_only_mmqa_q2a_budget1pct_embedding_kauto_emb-siglip-base-patch16-224</t>
  </si>
  <si>
    <t>direct+lr_only_mmqa_q2a_budget1.25pct_embedding_kauto_emb-siglip-base-patch16-224</t>
  </si>
  <si>
    <t>top_k+lr_only_mmqa_q7_budget0.25pct_embedding_kauto_emb-siglip-base-patch16-224</t>
  </si>
  <si>
    <t>top_k+lr_only_mmqa_q7_budget0.5pct_embedding_kauto_emb-siglip-base-patch16-224</t>
  </si>
  <si>
    <t>top_k+lr_only_mmqa_q7_budget0.75pct_embedding_kauto_emb-siglip-base-patch16-224</t>
  </si>
  <si>
    <t>top_k+lr_only_mmqa_q7_budget1pct_embedding_kauto_emb-siglip-base-patch16-224</t>
  </si>
  <si>
    <t>top_k+lr_only_mmqa_q7_budget1.25pct_embedding_kauto_emb-siglip-base-patch16-224</t>
  </si>
  <si>
    <t>direct+lr_only_mmqa_q7_budget0.25pct_embedding_kauto_emb-siglip-base-patch16-224</t>
  </si>
  <si>
    <t>direct+lr_only_mmqa_q7_budget0.5pct_embedding_kauto_emb-siglip-base-patch16-224</t>
  </si>
  <si>
    <t>direct+lr_only_mmqa_q7_budget0.75pct_embedding_kauto_emb-siglip-base-patch16-224</t>
  </si>
  <si>
    <t>direct+lr_only_mmqa_q7_budget1pct_embedding_kauto_emb-siglip-base-patch16-224</t>
  </si>
  <si>
    <t>direct+lr_only_mmqa_q7_budget1.25pct_embedding_kauto_emb-siglip-base-patch16-224</t>
  </si>
  <si>
    <t># uqe_animals_q1_summary.csv</t>
  </si>
  <si>
    <t>f1_max</t>
  </si>
  <si>
    <t>precision_mean</t>
  </si>
  <si>
    <t>recall_mean</t>
  </si>
  <si>
    <t>latency_mean</t>
  </si>
  <si>
    <t>n_experiments</t>
  </si>
  <si>
    <t>vllm_requests_mean</t>
  </si>
  <si>
    <t>vllm_prompt_tokens_mean</t>
  </si>
  <si>
    <t>vllm_completion_tokens_mean</t>
  </si>
  <si>
    <t>vllm_total_tokens_mean</t>
  </si>
  <si>
    <t>llm_requests_python_mean</t>
  </si>
  <si>
    <t>llm_total_tokens_python_mean</t>
  </si>
  <si>
    <t># uqe_cars_grid_summary.csv</t>
  </si>
  <si>
    <t>uqe_active+lr_only_cars_q1_budget5pct_embedding_kauto_emb-siglip-base-patch16-224</t>
  </si>
  <si>
    <t>uqe_active+lr_only_cars_q1_budget10pct_embedding_kauto_emb-siglip-base-patch16-224</t>
  </si>
  <si>
    <t>uqe_active+lr_only_cars_q1_budget15pct_embedding_kauto_emb-siglip-base-patch16-224</t>
  </si>
  <si>
    <t>uqe_active+lr_only_cars_q1_budget20pct_embedding_kauto_emb-siglip-base-patch16-224</t>
  </si>
  <si>
    <t>uqe_active+lr_only_cars_q1_budget25pct_embedding_kauto_emb-siglip-base-patch16-224</t>
  </si>
  <si>
    <t>uqe_active+lr_only_cars_q3_budget5pct_embedding_kauto_emb-siglip-base-patch16-224</t>
  </si>
  <si>
    <t>uqe_active+lr_only_cars_q3_budget10pct_embedding_kauto_emb-siglip-base-patch16-224</t>
  </si>
  <si>
    <t>uqe_active+lr_only_cars_q3_budget15pct_embedding_kauto_emb-siglip-base-patch16-224</t>
  </si>
  <si>
    <t>uqe_active+lr_only_cars_q3_budget20pct_embedding_kauto_emb-siglip-base-patch16-224</t>
  </si>
  <si>
    <t>uqe_active+lr_only_cars_q3_budget25pct_embedding_kauto_emb-siglip-base-patch16-224</t>
  </si>
  <si>
    <t>uqe_active+lr_only_cars_q4_budget15pct_embedding_kauto_emb-siglip-base-patch16-224</t>
  </si>
  <si>
    <t>uqe_active+lr_only_cars_q4_budget20pct_embedding_kauto_emb-siglip-base-patch16-224</t>
  </si>
  <si>
    <t>uqe_active+lr_only_cars_q4_budget25pct_embedding_kauto_emb-siglip-base-patch16-224</t>
  </si>
  <si>
    <t>uqe_active+lr_only_cars_q8_budget5pct_embedding_kauto_emb-siglip-base-patch16-224</t>
  </si>
  <si>
    <t>uqe_active+lr_only_cars_q8_budget10pct_embedding_kauto_emb-siglip-base-patch16-224</t>
  </si>
  <si>
    <t>uqe_active+lr_only_cars_q8_budget15pct_embedding_kauto_emb-siglip-base-patch16-224</t>
  </si>
  <si>
    <t>uqe_active+lr_only_cars_q8_budget20pct_embedding_kauto_emb-siglip-base-patch16-224</t>
  </si>
  <si>
    <t>uqe_active+lr_only_cars_q8_budget25pct_embedding_kauto_emb-siglip-base-patch16-224</t>
  </si>
  <si>
    <t># uqe_ecomm_grid_summary.csv</t>
  </si>
  <si>
    <t>uqe_active+lr_only_ecomm_q7_budget5pct_embedding_kauto_emb-siglip-base-patch16-224</t>
  </si>
  <si>
    <t>uqe_active+lr_only_ecomm_q7_budget10pct_embedding_kauto_emb-siglip-base-patch16-224</t>
  </si>
  <si>
    <t>uqe_active+lr_only_ecomm_q7_budget15pct_embedding_kauto_emb-siglip-base-patch16-224</t>
  </si>
  <si>
    <t>uqe_active+lr_only_ecomm_q7_budget20pct_embedding_kauto_emb-siglip-base-patch16-224</t>
  </si>
  <si>
    <t>uqe_active+lr_only_ecomm_q7_budget25pct_embedding_kauto_emb-siglip-base-patch16-224</t>
  </si>
  <si>
    <t>uqe_active+lr_only_ecomm_q8_budget5pct_embedding_kauto_emb-siglip-base-patch16-224</t>
  </si>
  <si>
    <t>uqe_active+lr_only_ecomm_q8_budget10pct_embedding_kauto_emb-siglip-base-patch16-224</t>
  </si>
  <si>
    <t>uqe_active+lr_only_ecomm_q8_budget15pct_embedding_kauto_emb-siglip-base-patch16-224</t>
  </si>
  <si>
    <t>uqe_active+lr_only_ecomm_q8_budget20pct_embedding_kauto_emb-siglip-base-patch16-224</t>
  </si>
  <si>
    <t>uqe_active+lr_only_ecomm_q8_budget25pct_embedding_kauto_emb-siglip-base-patch16-224</t>
  </si>
  <si>
    <t>uqe_active+lr_only_ecomm_q9_budget5pct_embedding_kauto_emb-siglip-base-patch16-224</t>
  </si>
  <si>
    <t>uqe_active+lr_only_ecomm_q9_budget10pct_embedding_kauto_emb-siglip-base-patch16-224</t>
  </si>
  <si>
    <t>uqe_active+lr_only_ecomm_q9_budget15pct_embedding_kauto_emb-siglip-base-patch16-224</t>
  </si>
  <si>
    <t>uqe_active+lr_only_ecomm_q9_budget20pct_embedding_kauto_emb-siglip-base-patch16-224</t>
  </si>
  <si>
    <t>uqe_active+lr_only_ecomm_q9_budget25pct_embedding_kauto_emb-siglip-base-patch16-224</t>
  </si>
  <si>
    <t>uqe_active+lr_only_ecomm_q13_budget5pct_embedding_kauto_emb-siglip-base-patch16-224</t>
  </si>
  <si>
    <t>uqe_active+lr_only_ecomm_q13_budget10pct_embedding_kauto_emb-siglip-base-patch16-224</t>
  </si>
  <si>
    <t>uqe_active+lr_only_ecomm_q13_budget15pct_embedding_kauto_emb-siglip-base-patch16-224</t>
  </si>
  <si>
    <t>uqe_active+lr_only_ecomm_q13_budget20pct_embedding_kauto_emb-siglip-base-patch16-224</t>
  </si>
  <si>
    <t>uqe_active+lr_only_ecomm_q13_budget25pct_embedding_kauto_emb-siglip-base-patch16-224</t>
  </si>
  <si>
    <t># uqe_match_grid_summary.csv</t>
  </si>
  <si>
    <t>uqe_active+lr_only_match113_budget5pct_embedding_kauto_emb-siglip-base-patch16-224</t>
  </si>
  <si>
    <t>uqe_active+lr_only_match113_budget10pct_embedding_kauto_emb-siglip-base-patch16-224</t>
  </si>
  <si>
    <t>uqe_active+lr_only_match113_budget15pct_embedding_kauto_emb-siglip-base-patch16-224</t>
  </si>
  <si>
    <t>uqe_active+lr_only_match113_budget20pct_embedding_kauto_emb-siglip-base-patch16-224</t>
  </si>
  <si>
    <t>uqe_active+lr_only_match113_budget25pct_embedding_kauto_emb-siglip-base-patch16-224</t>
  </si>
  <si>
    <t>uqe_active+lr_only_match121_budget5pct_embedding_kauto_emb-siglip-base-patch16-224</t>
  </si>
  <si>
    <t>uqe_active+lr_only_match121_budget10pct_embedding_kauto_emb-siglip-base-patch16-224</t>
  </si>
  <si>
    <t>uqe_active+lr_only_match121_budget15pct_embedding_kauto_emb-siglip-base-patch16-224</t>
  </si>
  <si>
    <t>uqe_active+lr_only_match121_budget20pct_embedding_kauto_emb-siglip-base-patch16-224</t>
  </si>
  <si>
    <t>uqe_active+lr_only_match121_budget25pct_embedding_kauto_emb-siglip-base-patch16-224</t>
  </si>
  <si>
    <t>uqe_active+lr_only_match202_budget5pct_embedding_kauto_emb-siglip-base-patch16-224</t>
  </si>
  <si>
    <t>uqe_active+lr_only_match202_budget10pct_embedding_kauto_emb-siglip-base-patch16-224</t>
  </si>
  <si>
    <t>uqe_active+lr_only_match202_budget15pct_embedding_kauto_emb-siglip-base-patch16-224</t>
  </si>
  <si>
    <t>uqe_active+lr_only_match202_budget20pct_embedding_kauto_emb-siglip-base-patch16-224</t>
  </si>
  <si>
    <t>uqe_active+lr_only_match202_budget25pct_embedding_kauto_emb-siglip-base-patch16-224</t>
  </si>
  <si>
    <t>uqe_active+lr_only_match305_budget5pct_embedding_kauto_emb-siglip-base-patch16-224</t>
  </si>
  <si>
    <t>uqe_active+lr_only_match305_budget10pct_embedding_kauto_emb-siglip-base-patch16-224</t>
  </si>
  <si>
    <t>uqe_active+lr_only_match305_budget15pct_embedding_kauto_emb-siglip-base-patch16-224</t>
  </si>
  <si>
    <t>uqe_active+lr_only_match305_budget20pct_embedding_kauto_emb-siglip-base-patch16-224</t>
  </si>
  <si>
    <t>uqe_active+lr_only_match305_budget25pct_embedding_kauto_emb-siglip-base-patch16-224</t>
  </si>
  <si>
    <t># uqe_mmqa_q2a_mmqa_q7_grid_summary.csv</t>
  </si>
  <si>
    <t>uqe_active+lr_only_mmqa_q2a_budget0.25pct_embedding_kauto_emb-siglip-base-patch16-224</t>
  </si>
  <si>
    <t>uqe_active+lr_only_mmqa_q2a_budget0.5pct_embedding_kauto_emb-siglip-base-patch16-224</t>
  </si>
  <si>
    <t>uqe_active+lr_only_mmqa_q2a_budget0.75pct_embedding_kauto_emb-siglip-base-patch16-224</t>
  </si>
  <si>
    <t>uqe_active+lr_only_mmqa_q2a_budget1pct_embedding_kauto_emb-siglip-base-patch16-224</t>
  </si>
  <si>
    <t>uqe_active+lr_only_mmqa_q2a_budget1.25pct_embedding_kauto_emb-siglip-base-patch16-224</t>
  </si>
  <si>
    <t>uqe_active+lr_only_mmqa_q7_budget0.25pct_embedding_kauto_emb-siglip-base-patch16-224</t>
  </si>
  <si>
    <t>uqe_active+lr_only_mmqa_q7_budget0.5pct_embedding_kauto_emb-siglip-base-patch16-224</t>
  </si>
  <si>
    <t>uqe_active+lr_only_mmqa_q7_budget0.75pct_embedding_kauto_emb-siglip-base-patch16-224</t>
  </si>
  <si>
    <t>uqe_active+lr_only_mmqa_q7_budget1pct_embedding_kauto_emb-siglip-base-patch16-224</t>
  </si>
  <si>
    <t>uqe_active+lr_only_mmqa_q7_budget1.25pct_embedding_kauto_emb-siglip-base-patch16-224</t>
  </si>
  <si>
    <t>uniform_f1</t>
  </si>
  <si>
    <t>uniform_lat</t>
  </si>
  <si>
    <t>topk_f1</t>
  </si>
  <si>
    <t>topk_lat</t>
  </si>
  <si>
    <t>uqe_f1</t>
  </si>
  <si>
    <t>uqe_lat</t>
  </si>
  <si>
    <t>laso_f1</t>
  </si>
  <si>
    <t>laso_lat</t>
  </si>
  <si>
    <t>bold_col</t>
  </si>
  <si>
    <t>uniLR_f1</t>
  </si>
  <si>
    <t>uniLR_lat</t>
  </si>
  <si>
    <t>uniLP_f1</t>
  </si>
  <si>
    <t>uniLP_lat</t>
  </si>
  <si>
    <t>lasoLR_f1</t>
  </si>
  <si>
    <t>lasoLR_lat</t>
  </si>
  <si>
    <t>lasoLP_f1</t>
  </si>
  <si>
    <t>lasoLP_lat</t>
  </si>
  <si>
    <t>table</t>
  </si>
  <si>
    <t>f1_1</t>
  </si>
  <si>
    <t>lat_1</t>
  </si>
  <si>
    <t>f1_2</t>
  </si>
  <si>
    <t>lat_2</t>
  </si>
  <si>
    <t>f1_3</t>
  </si>
  <si>
    <t>lat_3</t>
  </si>
  <si>
    <t>f1_4</t>
  </si>
  <si>
    <t>lat_4</t>
  </si>
  <si>
    <t>Table3</t>
  </si>
  <si>
    <t>Table4</t>
  </si>
  <si>
    <t>fallback pct%</t>
  </si>
  <si>
    <t>TotalTime</t>
  </si>
  <si>
    <t>Fallback pCt</t>
  </si>
  <si>
    <t>Label PCt</t>
  </si>
  <si>
    <t>Fallback time(s)</t>
  </si>
  <si>
    <t>TotalTime without router</t>
  </si>
  <si>
    <t>Fallback Time Pct</t>
  </si>
  <si>
    <t>LASO (with router)</t>
  </si>
  <si>
    <t>LASO (no router)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</si>
</sst>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ptos Narrow"/>
    </font>
    <font>
      <sz val="11"/>
      <color rgb="FF00000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14">
    <fill>
      <patternFill patternType="none"/>
    </fill>
    <fill>
      <patternFill patternType="gray125"/>
    </fill>
    <fill>
      <patternFill patternType="solid">
        <fgColor rgb="FF2E4C7E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BD9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4" fillId="7" borderId="0" xfId="0" applyFont="1" applyFill="1"/>
    <xf numFmtId="0" fontId="4" fillId="8" borderId="0" xfId="0" applyFont="1" applyFill="1"/>
    <xf numFmtId="0" fontId="3" fillId="8" borderId="0" xfId="0" applyFont="1" applyFill="1"/>
    <xf numFmtId="0" fontId="0" fillId="8" borderId="0" xfId="0" applyFill="1"/>
    <xf numFmtId="165" fontId="0" fillId="0" borderId="0" xfId="0" applyNumberFormat="1"/>
    <xf numFmtId="165" fontId="2" fillId="0" borderId="0" xfId="0" applyNumberFormat="1" applyFont="1"/>
    <xf numFmtId="0" fontId="5" fillId="0" borderId="0" xfId="0" applyFont="1"/>
    <xf numFmtId="0" fontId="3" fillId="4" borderId="0" xfId="0" applyFont="1" applyFill="1"/>
    <xf numFmtId="0" fontId="4" fillId="4" borderId="0" xfId="0" applyFont="1" applyFill="1"/>
    <xf numFmtId="0" fontId="5" fillId="4" borderId="0" xfId="0" applyFont="1" applyFill="1"/>
    <xf numFmtId="0" fontId="3" fillId="9" borderId="0" xfId="0" applyFont="1" applyFill="1"/>
    <xf numFmtId="11" fontId="3" fillId="0" borderId="0" xfId="0" applyNumberFormat="1" applyFont="1"/>
    <xf numFmtId="0" fontId="4" fillId="10" borderId="0" xfId="0" applyFont="1" applyFill="1"/>
    <xf numFmtId="0" fontId="3" fillId="10" borderId="0" xfId="0" applyFont="1" applyFill="1"/>
    <xf numFmtId="0" fontId="5" fillId="10" borderId="0" xfId="0" applyFont="1" applyFill="1"/>
    <xf numFmtId="0" fontId="0" fillId="10" borderId="0" xfId="0" applyFill="1"/>
    <xf numFmtId="0" fontId="3" fillId="11" borderId="0" xfId="0" applyFont="1" applyFill="1"/>
    <xf numFmtId="0" fontId="4" fillId="11" borderId="0" xfId="0" applyFont="1" applyFill="1"/>
    <xf numFmtId="0" fontId="5" fillId="11" borderId="0" xfId="0" applyFont="1" applyFill="1"/>
    <xf numFmtId="0" fontId="0" fillId="11" borderId="0" xfId="0" applyFill="1"/>
    <xf numFmtId="0" fontId="0" fillId="7" borderId="0" xfId="0" applyFill="1"/>
    <xf numFmtId="2" fontId="0" fillId="0" borderId="0" xfId="0" applyNumberFormat="1"/>
    <xf numFmtId="0" fontId="0" fillId="12" borderId="0" xfId="0" applyFill="1"/>
    <xf numFmtId="0" fontId="2" fillId="13" borderId="0" xfId="0" applyFont="1" applyFill="1"/>
    <xf numFmtId="165" fontId="2" fillId="12" borderId="0" xfId="0" applyNumberFormat="1" applyFont="1" applyFill="1"/>
    <xf numFmtId="0" fontId="0" fillId="0" borderId="0" xfId="0" applyAlignment="1">
      <alignment horizontal="center"/>
    </xf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8"/>
  <sheetViews>
    <sheetView zoomScale="139" workbookViewId="0">
      <selection activeCell="Q6" sqref="Q6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>
        <v>0</v>
      </c>
      <c r="C2">
        <v>2.25</v>
      </c>
      <c r="D2">
        <v>0</v>
      </c>
      <c r="E2">
        <v>2.75</v>
      </c>
      <c r="F2">
        <v>0</v>
      </c>
      <c r="G2">
        <v>3.24</v>
      </c>
      <c r="H2">
        <v>0.46</v>
      </c>
      <c r="I2">
        <v>3.73</v>
      </c>
      <c r="J2">
        <v>0.91</v>
      </c>
      <c r="K2" s="34">
        <f>5.9*5/7</f>
        <v>4.2142857142857144</v>
      </c>
      <c r="L2">
        <v>0.96</v>
      </c>
      <c r="M2">
        <v>5.0599999999999996</v>
      </c>
      <c r="N2">
        <v>1</v>
      </c>
      <c r="O2">
        <v>5.9</v>
      </c>
      <c r="P2">
        <v>1</v>
      </c>
      <c r="Q2">
        <v>6.74</v>
      </c>
      <c r="R2">
        <v>1</v>
      </c>
      <c r="S2" s="34">
        <f>5.9*9/7</f>
        <v>7.5857142857142863</v>
      </c>
      <c r="T2">
        <v>1</v>
      </c>
      <c r="U2">
        <v>8.43</v>
      </c>
      <c r="V2" s="33">
        <v>0.91</v>
      </c>
      <c r="W2" s="33">
        <v>4.0199999999999996</v>
      </c>
      <c r="X2" s="33">
        <v>0.91</v>
      </c>
      <c r="Y2" s="34">
        <f>5.9*5/7</f>
        <v>4.2142857142857144</v>
      </c>
      <c r="Z2" s="33">
        <v>1</v>
      </c>
      <c r="AA2" s="33">
        <v>4.8600000000000003</v>
      </c>
      <c r="AB2" s="33">
        <v>0.91</v>
      </c>
      <c r="AC2">
        <v>4.0999999999999996</v>
      </c>
      <c r="AD2" s="33">
        <v>0.91</v>
      </c>
      <c r="AE2" s="33">
        <v>4.21</v>
      </c>
      <c r="AF2" s="33">
        <v>0.91</v>
      </c>
      <c r="AG2">
        <v>4.2300000000000004</v>
      </c>
    </row>
    <row r="3" spans="1:33" s="35" customFormat="1" x14ac:dyDescent="0.2">
      <c r="A3" s="35" t="s">
        <v>34</v>
      </c>
      <c r="B3" s="35">
        <v>0.77</v>
      </c>
      <c r="C3" s="35">
        <v>24.5</v>
      </c>
      <c r="D3">
        <v>0.84</v>
      </c>
      <c r="E3">
        <v>26.45</v>
      </c>
      <c r="F3" s="35">
        <v>0.91</v>
      </c>
      <c r="G3" s="35">
        <v>28.4</v>
      </c>
      <c r="H3">
        <v>0.91</v>
      </c>
      <c r="I3">
        <v>30.85</v>
      </c>
      <c r="J3" s="35">
        <v>0.91</v>
      </c>
      <c r="K3" s="35">
        <v>33.299999999999997</v>
      </c>
      <c r="L3">
        <v>0.91</v>
      </c>
      <c r="M3">
        <v>35.770000000000003</v>
      </c>
      <c r="N3" s="35">
        <v>0.91</v>
      </c>
      <c r="O3" s="35">
        <v>38.24</v>
      </c>
      <c r="P3">
        <v>0.91</v>
      </c>
      <c r="Q3">
        <v>41.17</v>
      </c>
      <c r="R3" s="35">
        <v>0.91</v>
      </c>
      <c r="S3" s="35">
        <v>44.1</v>
      </c>
      <c r="T3">
        <v>0.91</v>
      </c>
      <c r="U3">
        <v>47.03</v>
      </c>
      <c r="V3" s="35">
        <v>0.66669999999999996</v>
      </c>
      <c r="W3" s="35">
        <v>24.25</v>
      </c>
      <c r="X3" s="35">
        <v>0.91</v>
      </c>
      <c r="Y3" s="35">
        <v>35.299999999999997</v>
      </c>
      <c r="Z3" s="35">
        <v>0.91</v>
      </c>
      <c r="AA3" s="35">
        <v>38.15</v>
      </c>
      <c r="AB3" s="35">
        <v>0.77</v>
      </c>
      <c r="AC3" s="35">
        <v>31.05</v>
      </c>
      <c r="AD3" s="35">
        <v>0.83</v>
      </c>
      <c r="AE3" s="35">
        <v>25.56</v>
      </c>
      <c r="AF3" s="35">
        <v>0.77</v>
      </c>
      <c r="AG3" s="35">
        <v>31.97</v>
      </c>
    </row>
    <row r="4" spans="1:33" x14ac:dyDescent="0.2">
      <c r="A4" t="s">
        <v>35</v>
      </c>
      <c r="B4">
        <v>0.23</v>
      </c>
      <c r="C4">
        <v>9.3000000000000007</v>
      </c>
      <c r="D4">
        <v>0.23</v>
      </c>
      <c r="E4">
        <v>10.35</v>
      </c>
      <c r="F4">
        <v>0.23</v>
      </c>
      <c r="G4">
        <v>11.4</v>
      </c>
      <c r="H4">
        <v>0.28000000000000003</v>
      </c>
      <c r="I4">
        <v>12.25</v>
      </c>
      <c r="J4">
        <v>0.32</v>
      </c>
      <c r="K4">
        <v>13.1</v>
      </c>
      <c r="L4">
        <v>0.31</v>
      </c>
      <c r="M4">
        <v>15.15</v>
      </c>
      <c r="N4">
        <v>0.3</v>
      </c>
      <c r="O4">
        <v>17.2</v>
      </c>
      <c r="P4">
        <v>0.37</v>
      </c>
      <c r="Q4">
        <v>19.2</v>
      </c>
      <c r="R4">
        <v>0.44</v>
      </c>
      <c r="S4">
        <v>21.2</v>
      </c>
      <c r="T4">
        <v>0.51</v>
      </c>
      <c r="U4">
        <v>23.2</v>
      </c>
      <c r="V4" s="33">
        <v>0.32429999999999998</v>
      </c>
      <c r="W4" s="33">
        <v>21.17</v>
      </c>
      <c r="X4" s="33">
        <v>0.32429999999999998</v>
      </c>
      <c r="Y4" s="33">
        <v>21.03</v>
      </c>
      <c r="Z4" s="33">
        <v>0.32429999999999998</v>
      </c>
      <c r="AA4" s="33">
        <v>30.61</v>
      </c>
      <c r="AB4">
        <v>0.26350000000000001</v>
      </c>
      <c r="AC4">
        <v>22.72</v>
      </c>
      <c r="AD4">
        <v>0.32429999999999998</v>
      </c>
      <c r="AE4">
        <v>21.03</v>
      </c>
      <c r="AF4">
        <v>0.41110000000000002</v>
      </c>
      <c r="AG4">
        <v>24.13</v>
      </c>
    </row>
    <row r="5" spans="1:33" x14ac:dyDescent="0.2">
      <c r="A5" t="s">
        <v>36</v>
      </c>
      <c r="B5">
        <v>0.42</v>
      </c>
      <c r="C5">
        <v>281.2</v>
      </c>
      <c r="D5">
        <v>0.48</v>
      </c>
      <c r="E5">
        <v>297.3</v>
      </c>
      <c r="F5">
        <v>0.54</v>
      </c>
      <c r="G5">
        <v>313.39999999999998</v>
      </c>
      <c r="H5">
        <v>0.62</v>
      </c>
      <c r="I5">
        <v>328.3</v>
      </c>
      <c r="J5">
        <v>0.71</v>
      </c>
      <c r="K5">
        <v>343.2</v>
      </c>
      <c r="L5">
        <v>0.74</v>
      </c>
      <c r="M5">
        <v>358.65</v>
      </c>
      <c r="N5">
        <v>0.78</v>
      </c>
      <c r="O5">
        <v>374.1</v>
      </c>
      <c r="P5">
        <v>0.83</v>
      </c>
      <c r="Q5">
        <v>388.1</v>
      </c>
      <c r="R5">
        <v>0.88</v>
      </c>
      <c r="S5">
        <v>402.1</v>
      </c>
      <c r="T5">
        <v>0.93</v>
      </c>
      <c r="U5">
        <v>416.1</v>
      </c>
      <c r="V5" s="33">
        <v>0.47539999999999999</v>
      </c>
      <c r="W5" s="33">
        <v>304.10000000000002</v>
      </c>
      <c r="X5" s="33">
        <v>0.42370000000000002</v>
      </c>
      <c r="Y5" s="33">
        <v>312.2</v>
      </c>
      <c r="Z5" s="33">
        <v>0.42370000000000002</v>
      </c>
      <c r="AA5" s="33">
        <v>345</v>
      </c>
      <c r="AB5">
        <v>0.4103</v>
      </c>
      <c r="AC5">
        <v>352.4</v>
      </c>
      <c r="AD5">
        <v>0.42370000000000002</v>
      </c>
      <c r="AE5">
        <v>343.2</v>
      </c>
      <c r="AF5">
        <v>0.32429999999999998</v>
      </c>
      <c r="AG5">
        <v>358.6</v>
      </c>
    </row>
    <row r="6" spans="1:33" s="35" customFormat="1" x14ac:dyDescent="0.2">
      <c r="A6" s="35" t="s">
        <v>37</v>
      </c>
      <c r="B6" s="35">
        <v>0.6</v>
      </c>
      <c r="C6" s="35">
        <v>43.9</v>
      </c>
      <c r="D6">
        <v>0.6</v>
      </c>
      <c r="E6">
        <v>46.05</v>
      </c>
      <c r="F6" s="35">
        <v>0.6</v>
      </c>
      <c r="G6" s="35">
        <v>47.62</v>
      </c>
      <c r="H6">
        <v>0.6</v>
      </c>
      <c r="I6">
        <v>48.87</v>
      </c>
      <c r="J6" s="35">
        <v>0.6</v>
      </c>
      <c r="K6" s="35">
        <v>50.12</v>
      </c>
      <c r="L6">
        <v>0.64</v>
      </c>
      <c r="M6">
        <v>50.72</v>
      </c>
      <c r="N6" s="35">
        <v>0.67</v>
      </c>
      <c r="O6" s="35">
        <v>51.32</v>
      </c>
      <c r="P6">
        <v>0.67</v>
      </c>
      <c r="Q6">
        <v>52.33</v>
      </c>
      <c r="R6" s="35">
        <v>0.67</v>
      </c>
      <c r="S6" s="35">
        <v>53.34</v>
      </c>
      <c r="T6">
        <v>0.67</v>
      </c>
      <c r="U6">
        <v>54.35</v>
      </c>
      <c r="V6" s="35">
        <v>0.44440000000000002</v>
      </c>
      <c r="W6" s="35">
        <v>44.6</v>
      </c>
      <c r="X6" s="35">
        <v>0.6</v>
      </c>
      <c r="Y6" s="35">
        <v>49.9</v>
      </c>
      <c r="Z6" s="35">
        <v>0.6</v>
      </c>
      <c r="AA6" s="35">
        <v>54.24</v>
      </c>
      <c r="AB6" s="35">
        <v>0.5</v>
      </c>
      <c r="AC6" s="35">
        <v>49.31</v>
      </c>
      <c r="AD6" s="35">
        <v>0.6</v>
      </c>
      <c r="AE6" s="35">
        <v>49.2</v>
      </c>
      <c r="AF6" s="35">
        <v>0.44440000000000002</v>
      </c>
      <c r="AG6" s="35">
        <v>50.23</v>
      </c>
    </row>
    <row r="7" spans="1:33" s="35" customFormat="1" x14ac:dyDescent="0.2">
      <c r="A7" s="35" t="s">
        <v>38</v>
      </c>
      <c r="B7" s="35">
        <v>0.36</v>
      </c>
      <c r="C7" s="35">
        <f>325.6/5</f>
        <v>65.12</v>
      </c>
      <c r="D7">
        <v>0.39</v>
      </c>
      <c r="E7">
        <f>328.65/5</f>
        <v>65.72999999999999</v>
      </c>
      <c r="F7" s="35">
        <v>0.42</v>
      </c>
      <c r="G7" s="35">
        <f>331.7/5</f>
        <v>66.34</v>
      </c>
      <c r="H7">
        <v>0.42</v>
      </c>
      <c r="I7">
        <f>336.9/5</f>
        <v>67.38</v>
      </c>
      <c r="J7" s="35">
        <v>0.42</v>
      </c>
      <c r="K7" s="35">
        <f>342.1/5</f>
        <v>68.42</v>
      </c>
      <c r="L7">
        <v>0.42</v>
      </c>
      <c r="M7">
        <f>346.15/5</f>
        <v>69.22999999999999</v>
      </c>
      <c r="N7" s="35">
        <v>0.42</v>
      </c>
      <c r="O7" s="35">
        <f>350.2/5</f>
        <v>70.039999999999992</v>
      </c>
      <c r="P7">
        <v>0.42</v>
      </c>
      <c r="Q7">
        <f>355.25/5</f>
        <v>71.05</v>
      </c>
      <c r="R7" s="35">
        <v>0.42</v>
      </c>
      <c r="S7" s="35">
        <f>360.3/5</f>
        <v>72.06</v>
      </c>
      <c r="T7">
        <v>0.42</v>
      </c>
      <c r="U7">
        <f>365.35/5</f>
        <v>73.070000000000007</v>
      </c>
      <c r="V7" s="35">
        <v>0.4</v>
      </c>
      <c r="W7" s="35">
        <v>66.64</v>
      </c>
      <c r="X7" s="35">
        <v>0.4</v>
      </c>
      <c r="Y7" s="35">
        <v>68.42</v>
      </c>
      <c r="Z7" s="35">
        <v>0.4</v>
      </c>
      <c r="AA7" s="35">
        <v>70.12</v>
      </c>
      <c r="AB7" s="35">
        <v>0.3478</v>
      </c>
      <c r="AC7" s="35">
        <v>66.709999999999994</v>
      </c>
      <c r="AD7" s="35">
        <v>0.4</v>
      </c>
      <c r="AE7" s="35">
        <v>68.209999999999994</v>
      </c>
      <c r="AF7" s="35">
        <v>0.36359999999999998</v>
      </c>
      <c r="AG7" s="35">
        <v>70.010000000000005</v>
      </c>
    </row>
    <row r="8" spans="1:33" x14ac:dyDescent="0.2">
      <c r="A8" t="s">
        <v>39</v>
      </c>
      <c r="B8">
        <v>0.67</v>
      </c>
      <c r="D8">
        <v>0.67</v>
      </c>
      <c r="F8">
        <v>0.67</v>
      </c>
      <c r="H8">
        <v>0.77</v>
      </c>
      <c r="J8">
        <v>0.86</v>
      </c>
      <c r="L8">
        <v>0.86</v>
      </c>
      <c r="N8">
        <v>0.86</v>
      </c>
      <c r="P8">
        <v>0.86</v>
      </c>
      <c r="R8">
        <v>0.86</v>
      </c>
      <c r="T8">
        <v>0.86</v>
      </c>
      <c r="V8" s="33">
        <v>0.47060000000000002</v>
      </c>
      <c r="W8" s="33">
        <v>19.03</v>
      </c>
      <c r="X8" s="33">
        <v>0.47060000000000002</v>
      </c>
      <c r="Y8" s="33">
        <v>10.130000000000001</v>
      </c>
      <c r="Z8" s="33">
        <v>0.47060000000000002</v>
      </c>
      <c r="AA8" s="33">
        <v>10.11</v>
      </c>
      <c r="AB8">
        <v>0.55559999999999998</v>
      </c>
      <c r="AC8">
        <v>12.37</v>
      </c>
      <c r="AD8">
        <v>0.47060000000000002</v>
      </c>
      <c r="AE8">
        <v>10.130000000000001</v>
      </c>
      <c r="AF8">
        <v>0.55559999999999998</v>
      </c>
      <c r="AG8">
        <v>10.42</v>
      </c>
    </row>
    <row r="9" spans="1:33" x14ac:dyDescent="0.2">
      <c r="A9" t="s">
        <v>40</v>
      </c>
      <c r="B9">
        <v>0.95</v>
      </c>
      <c r="D9">
        <v>0.96</v>
      </c>
      <c r="F9">
        <v>0.97</v>
      </c>
      <c r="H9">
        <v>0.97</v>
      </c>
      <c r="J9">
        <v>0.98</v>
      </c>
      <c r="L9">
        <v>0.98</v>
      </c>
      <c r="N9">
        <v>0.98</v>
      </c>
      <c r="P9">
        <v>0.98</v>
      </c>
      <c r="R9">
        <v>0.99</v>
      </c>
      <c r="T9">
        <v>0.99</v>
      </c>
      <c r="V9" s="33">
        <v>0.98</v>
      </c>
      <c r="W9" s="33">
        <v>14.07</v>
      </c>
      <c r="X9" s="33">
        <v>0.98</v>
      </c>
      <c r="Y9" s="33">
        <v>6.13</v>
      </c>
      <c r="Z9" s="33">
        <v>0.98</v>
      </c>
      <c r="AA9" s="33">
        <v>5.5</v>
      </c>
      <c r="AB9">
        <v>0.96679999999999999</v>
      </c>
      <c r="AC9">
        <v>5.25</v>
      </c>
      <c r="AD9">
        <v>0.93269999999999997</v>
      </c>
      <c r="AE9">
        <v>6.13</v>
      </c>
      <c r="AF9">
        <v>0.93930000000000002</v>
      </c>
      <c r="AG9">
        <v>7.41</v>
      </c>
    </row>
    <row r="10" spans="1:33" x14ac:dyDescent="0.2">
      <c r="A10" t="s">
        <v>41</v>
      </c>
      <c r="B10">
        <v>0.28999999999999998</v>
      </c>
      <c r="C10">
        <v>279.5</v>
      </c>
      <c r="D10">
        <v>0.35</v>
      </c>
      <c r="E10">
        <v>282.05</v>
      </c>
      <c r="F10">
        <v>0.41</v>
      </c>
      <c r="G10">
        <v>284.60000000000002</v>
      </c>
      <c r="H10">
        <v>0.41</v>
      </c>
      <c r="I10">
        <v>295.95</v>
      </c>
      <c r="J10">
        <v>0.4</v>
      </c>
      <c r="K10">
        <v>307.3</v>
      </c>
      <c r="L10">
        <v>0.46</v>
      </c>
      <c r="M10">
        <v>310.75</v>
      </c>
      <c r="N10">
        <v>0.51</v>
      </c>
      <c r="O10">
        <v>314.2</v>
      </c>
      <c r="P10">
        <v>0.52</v>
      </c>
      <c r="Q10">
        <v>319.35000000000002</v>
      </c>
      <c r="R10">
        <v>0.52</v>
      </c>
      <c r="S10">
        <v>324.5</v>
      </c>
      <c r="T10">
        <v>0.53</v>
      </c>
      <c r="U10">
        <v>329.65</v>
      </c>
      <c r="V10">
        <v>0.4</v>
      </c>
      <c r="W10">
        <v>289.10000000000002</v>
      </c>
      <c r="X10">
        <v>0.4</v>
      </c>
      <c r="Y10">
        <v>307.3</v>
      </c>
      <c r="Z10">
        <v>0.378</v>
      </c>
      <c r="AA10">
        <v>314.3</v>
      </c>
      <c r="AB10">
        <v>0.41820000000000002</v>
      </c>
      <c r="AC10">
        <v>305.39999999999998</v>
      </c>
      <c r="AD10">
        <v>0.4</v>
      </c>
      <c r="AE10">
        <v>307.3</v>
      </c>
      <c r="AF10">
        <v>0.28999999999999998</v>
      </c>
      <c r="AG10">
        <v>312.39999999999998</v>
      </c>
    </row>
    <row r="11" spans="1:33" x14ac:dyDescent="0.2">
      <c r="A11" t="s">
        <v>42</v>
      </c>
      <c r="B11">
        <v>0.18</v>
      </c>
      <c r="D11">
        <v>0.2</v>
      </c>
      <c r="F11">
        <v>0.22</v>
      </c>
      <c r="H11">
        <v>0.23</v>
      </c>
      <c r="J11">
        <v>0.23</v>
      </c>
      <c r="L11">
        <v>0.23</v>
      </c>
      <c r="N11">
        <v>0.23</v>
      </c>
      <c r="P11">
        <v>0.26</v>
      </c>
      <c r="R11">
        <v>0.28000000000000003</v>
      </c>
      <c r="T11">
        <v>0.31</v>
      </c>
      <c r="V11" s="33">
        <v>0.12870000000000001</v>
      </c>
      <c r="W11" s="33">
        <v>29.86</v>
      </c>
      <c r="X11" s="33">
        <v>0.1042</v>
      </c>
      <c r="Y11" s="33">
        <v>19.38</v>
      </c>
      <c r="Z11" s="33">
        <v>8.5099999999999995E-2</v>
      </c>
      <c r="AA11" s="33">
        <v>15.82</v>
      </c>
      <c r="AB11">
        <v>0.11219999999999999</v>
      </c>
      <c r="AC11">
        <v>19.11</v>
      </c>
      <c r="AD11">
        <v>0.1042</v>
      </c>
      <c r="AE11">
        <v>19.38</v>
      </c>
      <c r="AF11">
        <v>9.8400000000000001E-2</v>
      </c>
      <c r="AG11">
        <v>17.260000000000002</v>
      </c>
    </row>
    <row r="12" spans="1:33" s="35" customFormat="1" x14ac:dyDescent="0.2">
      <c r="A12" s="35" t="s">
        <v>43</v>
      </c>
      <c r="B12" s="35">
        <v>0.4</v>
      </c>
      <c r="C12" s="35">
        <v>4.3</v>
      </c>
      <c r="D12">
        <v>0.5</v>
      </c>
      <c r="E12">
        <v>4.45</v>
      </c>
      <c r="F12" s="35">
        <v>0.6</v>
      </c>
      <c r="G12" s="35">
        <v>4.5999999999999996</v>
      </c>
      <c r="H12">
        <v>0.7</v>
      </c>
      <c r="I12">
        <v>4.9000000000000004</v>
      </c>
      <c r="J12" s="35">
        <v>0.8</v>
      </c>
      <c r="K12" s="35">
        <v>5.2</v>
      </c>
      <c r="L12">
        <v>0.8</v>
      </c>
      <c r="M12">
        <v>5.5</v>
      </c>
      <c r="N12" s="35">
        <v>0.8</v>
      </c>
      <c r="O12" s="35">
        <v>5.8</v>
      </c>
      <c r="P12">
        <v>0.8</v>
      </c>
      <c r="Q12">
        <v>6</v>
      </c>
      <c r="R12" s="35">
        <v>0.8</v>
      </c>
      <c r="S12" s="35">
        <v>6.2</v>
      </c>
      <c r="T12">
        <v>0.8</v>
      </c>
      <c r="U12">
        <v>6.4</v>
      </c>
      <c r="V12" s="35">
        <v>0.8</v>
      </c>
      <c r="W12" s="35">
        <v>2.19</v>
      </c>
      <c r="X12" s="35">
        <v>0.8</v>
      </c>
      <c r="Y12" s="35">
        <v>5.2</v>
      </c>
      <c r="Z12" s="35">
        <v>0.8</v>
      </c>
      <c r="AA12" s="35">
        <v>7.33</v>
      </c>
      <c r="AB12" s="35">
        <v>0.4</v>
      </c>
      <c r="AC12" s="35">
        <v>3.5</v>
      </c>
      <c r="AD12" s="35">
        <v>0.4</v>
      </c>
      <c r="AE12" s="35">
        <v>5.2</v>
      </c>
      <c r="AF12" s="35">
        <v>0.4</v>
      </c>
      <c r="AG12" s="35">
        <v>7.1</v>
      </c>
    </row>
    <row r="13" spans="1:33" x14ac:dyDescent="0.2">
      <c r="A13" t="s">
        <v>44</v>
      </c>
      <c r="B13">
        <v>0.28999999999999998</v>
      </c>
      <c r="C13">
        <v>16.329999999999998</v>
      </c>
      <c r="D13">
        <v>0.28999999999999998</v>
      </c>
      <c r="E13">
        <v>17.13</v>
      </c>
      <c r="F13">
        <v>0.28999999999999998</v>
      </c>
      <c r="G13">
        <v>17.940000000000001</v>
      </c>
      <c r="H13">
        <v>0.31</v>
      </c>
      <c r="I13">
        <v>18.13</v>
      </c>
      <c r="J13">
        <v>0.33</v>
      </c>
      <c r="K13">
        <v>18.329999999999998</v>
      </c>
      <c r="L13">
        <v>0.34</v>
      </c>
      <c r="M13">
        <v>18.93</v>
      </c>
      <c r="N13">
        <v>0.36</v>
      </c>
      <c r="O13">
        <v>19.54</v>
      </c>
      <c r="P13">
        <v>0.36</v>
      </c>
      <c r="Q13">
        <v>20.29</v>
      </c>
      <c r="R13">
        <v>0.37</v>
      </c>
      <c r="S13">
        <v>21.04</v>
      </c>
      <c r="T13">
        <v>0.38</v>
      </c>
      <c r="U13">
        <v>21.79</v>
      </c>
      <c r="V13">
        <v>0.2989</v>
      </c>
      <c r="W13">
        <v>17.399999999999999</v>
      </c>
      <c r="X13">
        <v>0.33</v>
      </c>
      <c r="Y13">
        <v>18.329999999999998</v>
      </c>
      <c r="Z13">
        <v>0.36</v>
      </c>
      <c r="AA13">
        <v>23.1</v>
      </c>
      <c r="AB13">
        <v>0.33760000000000001</v>
      </c>
      <c r="AC13">
        <v>15.77</v>
      </c>
      <c r="AD13">
        <v>0.27989999999999998</v>
      </c>
      <c r="AE13">
        <v>18.329999999999998</v>
      </c>
      <c r="AF13">
        <v>0.34079999999999999</v>
      </c>
      <c r="AG13">
        <v>19.670000000000002</v>
      </c>
    </row>
    <row r="14" spans="1:33" x14ac:dyDescent="0.2">
      <c r="A14" t="s">
        <v>45</v>
      </c>
      <c r="B14">
        <v>0.67</v>
      </c>
      <c r="D14">
        <v>0.67</v>
      </c>
      <c r="F14">
        <v>0.67</v>
      </c>
      <c r="H14">
        <v>0.74</v>
      </c>
      <c r="J14">
        <v>0.8</v>
      </c>
      <c r="L14">
        <v>0.8</v>
      </c>
      <c r="N14">
        <v>0.8</v>
      </c>
      <c r="P14">
        <v>0.8</v>
      </c>
      <c r="R14">
        <v>0.8</v>
      </c>
      <c r="T14">
        <v>0.8</v>
      </c>
      <c r="V14" s="33">
        <v>0</v>
      </c>
      <c r="W14" s="33">
        <v>2.19</v>
      </c>
      <c r="X14" s="33">
        <v>0</v>
      </c>
      <c r="Y14" s="33">
        <v>1.49</v>
      </c>
      <c r="Z14" s="33">
        <v>0</v>
      </c>
      <c r="AA14" s="33">
        <v>1.54</v>
      </c>
      <c r="AB14">
        <v>0</v>
      </c>
      <c r="AC14">
        <v>1.27</v>
      </c>
      <c r="AD14">
        <v>0</v>
      </c>
      <c r="AE14">
        <v>1.49</v>
      </c>
      <c r="AF14">
        <v>0</v>
      </c>
      <c r="AG14">
        <v>1.56</v>
      </c>
    </row>
    <row r="15" spans="1:33" x14ac:dyDescent="0.2">
      <c r="A15" t="s">
        <v>46</v>
      </c>
      <c r="B15">
        <v>0.56999999999999995</v>
      </c>
      <c r="D15">
        <v>0.56999999999999995</v>
      </c>
      <c r="F15">
        <v>0.57999999999999996</v>
      </c>
      <c r="H15">
        <v>0.59</v>
      </c>
      <c r="J15">
        <v>0.61</v>
      </c>
      <c r="L15">
        <v>0.62</v>
      </c>
      <c r="N15">
        <v>0.64</v>
      </c>
      <c r="P15">
        <v>0.66</v>
      </c>
      <c r="R15">
        <v>0.67</v>
      </c>
      <c r="T15">
        <v>0.69</v>
      </c>
      <c r="V15" s="33">
        <v>0.92310000000000003</v>
      </c>
      <c r="W15" s="33">
        <v>1.32</v>
      </c>
      <c r="X15" s="33">
        <v>0.93330000000000002</v>
      </c>
      <c r="Y15" s="33">
        <v>0.96</v>
      </c>
      <c r="Z15" s="33">
        <v>0.93330000000000002</v>
      </c>
      <c r="AA15" s="33">
        <v>0.87</v>
      </c>
      <c r="AB15">
        <v>0.92310000000000003</v>
      </c>
      <c r="AC15">
        <v>1.04</v>
      </c>
      <c r="AD15">
        <v>0.93330000000000002</v>
      </c>
      <c r="AE15">
        <v>0.96</v>
      </c>
      <c r="AF15">
        <v>0.92310000000000003</v>
      </c>
      <c r="AG15">
        <v>1.05</v>
      </c>
    </row>
    <row r="16" spans="1:33" x14ac:dyDescent="0.2">
      <c r="A16" t="s">
        <v>47</v>
      </c>
      <c r="B16">
        <v>0</v>
      </c>
      <c r="D16">
        <v>0.35</v>
      </c>
      <c r="F16">
        <v>0.7</v>
      </c>
      <c r="H16">
        <v>0.7</v>
      </c>
      <c r="J16">
        <v>0.7</v>
      </c>
      <c r="L16">
        <v>0.75</v>
      </c>
      <c r="N16">
        <v>0.8</v>
      </c>
      <c r="P16">
        <v>0.9</v>
      </c>
      <c r="R16">
        <v>1</v>
      </c>
      <c r="T16">
        <v>1</v>
      </c>
      <c r="V16" s="33">
        <v>1</v>
      </c>
      <c r="W16" s="33">
        <v>0.86</v>
      </c>
      <c r="X16" s="33">
        <v>1</v>
      </c>
      <c r="Y16" s="33">
        <v>0.56000000000000005</v>
      </c>
      <c r="Z16" s="33">
        <v>1</v>
      </c>
      <c r="AA16" s="33">
        <v>0.53</v>
      </c>
      <c r="AB16">
        <v>1</v>
      </c>
      <c r="AC16">
        <v>0.55000000000000004</v>
      </c>
      <c r="AD16">
        <v>1</v>
      </c>
      <c r="AE16">
        <v>0.56000000000000005</v>
      </c>
      <c r="AF16">
        <v>0.93330000000000002</v>
      </c>
      <c r="AG16">
        <v>0.54</v>
      </c>
    </row>
    <row r="17" spans="1:33" s="35" customFormat="1" x14ac:dyDescent="0.2">
      <c r="A17" s="35" t="s">
        <v>48</v>
      </c>
      <c r="B17" s="35">
        <v>0.67</v>
      </c>
      <c r="C17" s="35">
        <v>0.89</v>
      </c>
      <c r="D17">
        <v>0.7</v>
      </c>
      <c r="E17">
        <v>0.96</v>
      </c>
      <c r="F17" s="35">
        <v>0.73</v>
      </c>
      <c r="G17" s="35">
        <v>1.03</v>
      </c>
      <c r="H17">
        <v>0.73</v>
      </c>
      <c r="I17">
        <v>1.1100000000000001</v>
      </c>
      <c r="J17" s="35">
        <v>0.73</v>
      </c>
      <c r="K17" s="35">
        <v>1.19</v>
      </c>
      <c r="L17">
        <v>0.73</v>
      </c>
      <c r="M17">
        <v>1.27</v>
      </c>
      <c r="N17" s="35">
        <v>0.73</v>
      </c>
      <c r="O17" s="35">
        <v>1.35</v>
      </c>
      <c r="P17">
        <v>0.73</v>
      </c>
      <c r="Q17">
        <v>1.42</v>
      </c>
      <c r="R17" s="35">
        <v>0.73</v>
      </c>
      <c r="S17" s="35">
        <v>1.48</v>
      </c>
      <c r="T17">
        <v>0.73</v>
      </c>
      <c r="U17">
        <v>1.54</v>
      </c>
      <c r="V17" s="36">
        <v>0.73</v>
      </c>
      <c r="W17" s="35">
        <v>1.17</v>
      </c>
      <c r="X17" s="35">
        <v>0.73</v>
      </c>
      <c r="Y17" s="35">
        <v>1.19</v>
      </c>
      <c r="Z17" s="36">
        <v>0.73</v>
      </c>
      <c r="AA17" s="35">
        <v>1.67</v>
      </c>
      <c r="AB17" s="36">
        <v>0.73</v>
      </c>
      <c r="AC17" s="35">
        <v>0.97</v>
      </c>
      <c r="AD17" s="35">
        <v>0.73</v>
      </c>
      <c r="AE17" s="35">
        <v>1.19</v>
      </c>
      <c r="AF17" s="35">
        <v>0.73</v>
      </c>
      <c r="AG17" s="35">
        <v>1.82</v>
      </c>
    </row>
    <row r="18" spans="1:33" x14ac:dyDescent="0.2">
      <c r="A18" t="s">
        <v>49</v>
      </c>
      <c r="B18">
        <v>0.44</v>
      </c>
      <c r="C18">
        <v>24.92</v>
      </c>
      <c r="D18">
        <v>0.48</v>
      </c>
      <c r="E18">
        <v>23.43</v>
      </c>
      <c r="F18">
        <v>0.53</v>
      </c>
      <c r="G18">
        <v>21.94</v>
      </c>
      <c r="H18">
        <v>0.57999999999999996</v>
      </c>
      <c r="I18">
        <v>22.09</v>
      </c>
      <c r="J18">
        <v>0.64</v>
      </c>
      <c r="K18">
        <v>22.24</v>
      </c>
      <c r="L18">
        <v>0.66</v>
      </c>
      <c r="M18">
        <v>20.56</v>
      </c>
      <c r="N18">
        <v>0.67</v>
      </c>
      <c r="O18">
        <v>18.89</v>
      </c>
      <c r="P18">
        <v>0.69</v>
      </c>
      <c r="Q18">
        <v>19.14</v>
      </c>
      <c r="R18">
        <v>0.71</v>
      </c>
      <c r="S18">
        <v>19.399999999999999</v>
      </c>
      <c r="T18">
        <v>0.73</v>
      </c>
      <c r="U18">
        <v>19.649999999999999</v>
      </c>
      <c r="V18" s="33">
        <v>0.51910000000000001</v>
      </c>
      <c r="W18" s="33">
        <v>15.5769</v>
      </c>
      <c r="X18" s="33">
        <v>0.51959999999999995</v>
      </c>
      <c r="Y18" s="33">
        <v>10.2706</v>
      </c>
      <c r="Z18" s="33">
        <v>0.52059999999999995</v>
      </c>
      <c r="AA18" s="33">
        <v>9.4080999999999992</v>
      </c>
      <c r="AB18">
        <v>0.52929999999999999</v>
      </c>
      <c r="AC18">
        <v>10.5694</v>
      </c>
      <c r="AD18">
        <v>0.51959999999999995</v>
      </c>
      <c r="AE18">
        <v>10.2706</v>
      </c>
      <c r="AF18">
        <v>0.51900000000000002</v>
      </c>
      <c r="AG18">
        <v>11.5444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zoomScale="181" workbookViewId="0">
      <selection activeCell="C17" sqref="C17"/>
    </sheetView>
  </sheetViews>
  <sheetFormatPr baseColWidth="10" defaultColWidth="8.83203125" defaultRowHeight="15" x14ac:dyDescent="0.2"/>
  <cols>
    <col min="1" max="1" width="13" customWidth="1"/>
  </cols>
  <sheetData>
    <row r="1" spans="1:6" x14ac:dyDescent="0.2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">
      <c r="A2" t="s">
        <v>33</v>
      </c>
      <c r="B2" t="s">
        <v>55</v>
      </c>
      <c r="C2" t="s">
        <v>56</v>
      </c>
      <c r="D2" t="s">
        <v>57</v>
      </c>
      <c r="E2">
        <v>10400</v>
      </c>
      <c r="F2">
        <v>5.0000000000000001E-4</v>
      </c>
    </row>
    <row r="3" spans="1:6" x14ac:dyDescent="0.2">
      <c r="A3" t="s">
        <v>34</v>
      </c>
      <c r="B3" t="s">
        <v>55</v>
      </c>
      <c r="C3" t="s">
        <v>56</v>
      </c>
      <c r="D3" t="s">
        <v>57</v>
      </c>
      <c r="E3">
        <v>230400</v>
      </c>
      <c r="F3">
        <v>7.7999999999999999E-6</v>
      </c>
    </row>
    <row r="4" spans="1:6" x14ac:dyDescent="0.2">
      <c r="A4" s="4" t="s">
        <v>35</v>
      </c>
      <c r="B4" t="s">
        <v>58</v>
      </c>
      <c r="C4" s="4" t="s">
        <v>59</v>
      </c>
      <c r="D4" s="4" t="s">
        <v>57</v>
      </c>
      <c r="E4" s="4">
        <v>9280</v>
      </c>
      <c r="F4" s="4">
        <v>0.2</v>
      </c>
    </row>
    <row r="5" spans="1:6" x14ac:dyDescent="0.2">
      <c r="A5" t="s">
        <v>36</v>
      </c>
      <c r="B5" t="s">
        <v>58</v>
      </c>
      <c r="C5" t="s">
        <v>56</v>
      </c>
      <c r="D5" t="s">
        <v>60</v>
      </c>
      <c r="E5">
        <v>525625</v>
      </c>
      <c r="F5">
        <v>9.4000000000000004E-3</v>
      </c>
    </row>
    <row r="6" spans="1:6" x14ac:dyDescent="0.2">
      <c r="A6" t="s">
        <v>37</v>
      </c>
      <c r="B6" t="s">
        <v>58</v>
      </c>
      <c r="C6" t="s">
        <v>56</v>
      </c>
      <c r="D6" t="s">
        <v>57</v>
      </c>
      <c r="E6">
        <v>115768</v>
      </c>
      <c r="F6">
        <v>2.9999999999999997E-4</v>
      </c>
    </row>
    <row r="7" spans="1:6" x14ac:dyDescent="0.2">
      <c r="A7" t="s">
        <v>38</v>
      </c>
      <c r="B7" t="s">
        <v>58</v>
      </c>
      <c r="C7" t="s">
        <v>56</v>
      </c>
      <c r="D7" t="s">
        <v>61</v>
      </c>
      <c r="E7">
        <v>25440</v>
      </c>
      <c r="F7">
        <v>2.6499999999999999E-2</v>
      </c>
    </row>
    <row r="8" spans="1:6" x14ac:dyDescent="0.2">
      <c r="A8" t="s">
        <v>39</v>
      </c>
      <c r="B8" t="s">
        <v>58</v>
      </c>
      <c r="C8" t="s">
        <v>59</v>
      </c>
      <c r="D8" t="s">
        <v>57</v>
      </c>
      <c r="E8">
        <v>3992</v>
      </c>
      <c r="F8">
        <v>3.0000000000000001E-3</v>
      </c>
    </row>
    <row r="9" spans="1:6" x14ac:dyDescent="0.2">
      <c r="A9" t="s">
        <v>40</v>
      </c>
      <c r="B9" t="s">
        <v>62</v>
      </c>
      <c r="C9" t="s">
        <v>59</v>
      </c>
      <c r="D9" t="s">
        <v>61</v>
      </c>
      <c r="E9">
        <v>10070</v>
      </c>
      <c r="F9">
        <v>3.39E-2</v>
      </c>
    </row>
    <row r="10" spans="1:6" x14ac:dyDescent="0.2">
      <c r="A10" s="4" t="s">
        <v>41</v>
      </c>
      <c r="B10" s="4" t="s">
        <v>62</v>
      </c>
      <c r="C10" s="4" t="s">
        <v>59</v>
      </c>
      <c r="D10" s="4" t="s">
        <v>61</v>
      </c>
      <c r="E10" s="4">
        <v>157269</v>
      </c>
      <c r="F10" s="4">
        <v>0.13900000000000001</v>
      </c>
    </row>
    <row r="11" spans="1:6" x14ac:dyDescent="0.2">
      <c r="A11" t="s">
        <v>42</v>
      </c>
      <c r="B11" t="s">
        <v>62</v>
      </c>
      <c r="C11" t="s">
        <v>59</v>
      </c>
      <c r="D11" t="s">
        <v>61</v>
      </c>
      <c r="E11">
        <v>30130</v>
      </c>
      <c r="F11">
        <v>5.4000000000000003E-3</v>
      </c>
    </row>
    <row r="12" spans="1:6" x14ac:dyDescent="0.2">
      <c r="A12" t="s">
        <v>43</v>
      </c>
      <c r="B12" t="s">
        <v>63</v>
      </c>
      <c r="C12" t="s">
        <v>59</v>
      </c>
      <c r="D12" t="s">
        <v>61</v>
      </c>
      <c r="E12">
        <v>1600</v>
      </c>
      <c r="F12">
        <v>6.0999999999999999E-2</v>
      </c>
    </row>
    <row r="13" spans="1:6" x14ac:dyDescent="0.2">
      <c r="A13" t="s">
        <v>64</v>
      </c>
      <c r="B13" t="s">
        <v>65</v>
      </c>
      <c r="C13" t="s">
        <v>56</v>
      </c>
      <c r="D13" t="s">
        <v>60</v>
      </c>
      <c r="E13">
        <v>266</v>
      </c>
      <c r="F13">
        <v>6.6699999999999997E-3</v>
      </c>
    </row>
    <row r="14" spans="1:6" x14ac:dyDescent="0.2">
      <c r="A14" t="s">
        <v>66</v>
      </c>
      <c r="B14" t="s">
        <v>65</v>
      </c>
      <c r="C14" t="s">
        <v>56</v>
      </c>
      <c r="D14" t="s">
        <v>60</v>
      </c>
      <c r="E14">
        <v>1426</v>
      </c>
      <c r="F14">
        <v>4.9100000000000003E-3</v>
      </c>
    </row>
    <row r="15" spans="1:6" x14ac:dyDescent="0.2">
      <c r="A15" t="s">
        <v>67</v>
      </c>
      <c r="B15" t="s">
        <v>68</v>
      </c>
      <c r="C15" t="s">
        <v>56</v>
      </c>
      <c r="D15" t="s">
        <v>60</v>
      </c>
      <c r="E15">
        <v>384</v>
      </c>
      <c r="F15">
        <v>7.8100000000000001E-3</v>
      </c>
    </row>
    <row r="16" spans="1:6" x14ac:dyDescent="0.2">
      <c r="A16" t="s">
        <v>69</v>
      </c>
      <c r="B16" t="s">
        <v>70</v>
      </c>
      <c r="C16" t="s">
        <v>56</v>
      </c>
      <c r="D16" t="s">
        <v>60</v>
      </c>
      <c r="E16">
        <v>1421</v>
      </c>
      <c r="F16">
        <v>7.7400000000000004E-3</v>
      </c>
    </row>
    <row r="17" spans="1:6" x14ac:dyDescent="0.2">
      <c r="A17" s="4" t="s">
        <v>44</v>
      </c>
      <c r="B17" s="4" t="s">
        <v>68</v>
      </c>
      <c r="C17" s="4" t="s">
        <v>56</v>
      </c>
      <c r="D17" s="4" t="s">
        <v>60</v>
      </c>
      <c r="E17" s="4">
        <v>65536</v>
      </c>
      <c r="F17" s="4">
        <f>32288/E17</f>
        <v>0.49267578125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F217"/>
  <sheetViews>
    <sheetView topLeftCell="A21" zoomScale="115" zoomScaleNormal="142" workbookViewId="0">
      <selection activeCell="P42" sqref="P42"/>
    </sheetView>
  </sheetViews>
  <sheetFormatPr baseColWidth="10" defaultRowHeight="15" x14ac:dyDescent="0.2"/>
  <cols>
    <col min="2" max="2" width="38.5" customWidth="1"/>
    <col min="3" max="3" width="20.1640625" customWidth="1"/>
    <col min="29" max="29" width="27" customWidth="1"/>
    <col min="30" max="30" width="29.33203125" customWidth="1"/>
    <col min="92" max="92" width="49.6640625" customWidth="1"/>
    <col min="93" max="93" width="28.1640625" customWidth="1"/>
  </cols>
  <sheetData>
    <row r="1" spans="1:109" x14ac:dyDescent="0.2">
      <c r="A1" s="8" t="s">
        <v>0</v>
      </c>
      <c r="B1" s="8" t="s">
        <v>54</v>
      </c>
      <c r="C1" s="8" t="s">
        <v>71</v>
      </c>
      <c r="D1" s="8" t="s">
        <v>72</v>
      </c>
      <c r="E1" s="8" t="s">
        <v>73</v>
      </c>
      <c r="F1" s="8" t="s">
        <v>74</v>
      </c>
      <c r="G1" s="8" t="s">
        <v>75</v>
      </c>
      <c r="H1" s="8" t="s">
        <v>76</v>
      </c>
      <c r="I1" s="8" t="s">
        <v>77</v>
      </c>
      <c r="J1" s="8" t="s">
        <v>78</v>
      </c>
      <c r="K1" s="8" t="s">
        <v>79</v>
      </c>
      <c r="L1" s="8" t="s">
        <v>80</v>
      </c>
      <c r="M1" s="8" t="s">
        <v>81</v>
      </c>
      <c r="N1" s="8" t="s">
        <v>82</v>
      </c>
      <c r="O1" s="8" t="s">
        <v>83</v>
      </c>
      <c r="P1" s="8" t="s">
        <v>84</v>
      </c>
      <c r="Q1" s="8" t="s">
        <v>85</v>
      </c>
      <c r="R1" s="8" t="s">
        <v>86</v>
      </c>
      <c r="S1" s="8" t="s">
        <v>87</v>
      </c>
      <c r="T1" s="8" t="s">
        <v>88</v>
      </c>
      <c r="U1" s="8" t="s">
        <v>89</v>
      </c>
      <c r="V1" s="8" t="s">
        <v>90</v>
      </c>
      <c r="W1" s="8" t="s">
        <v>91</v>
      </c>
      <c r="X1" s="8" t="s">
        <v>92</v>
      </c>
      <c r="Y1" s="8" t="s">
        <v>93</v>
      </c>
      <c r="Z1" s="8" t="s">
        <v>94</v>
      </c>
      <c r="AA1" s="8" t="s">
        <v>95</v>
      </c>
      <c r="AB1" s="8" t="s">
        <v>96</v>
      </c>
      <c r="AC1" s="8" t="s">
        <v>97</v>
      </c>
      <c r="AD1" s="8" t="s">
        <v>98</v>
      </c>
      <c r="AE1" s="8" t="s">
        <v>99</v>
      </c>
      <c r="AF1" s="8" t="s">
        <v>100</v>
      </c>
      <c r="AG1" s="8" t="s">
        <v>101</v>
      </c>
      <c r="AH1" s="8" t="s">
        <v>102</v>
      </c>
      <c r="AI1" s="8" t="s">
        <v>103</v>
      </c>
      <c r="AJ1" s="8" t="s">
        <v>104</v>
      </c>
      <c r="AK1" s="8" t="s">
        <v>105</v>
      </c>
      <c r="AL1" s="8" t="s">
        <v>106</v>
      </c>
      <c r="AM1" s="8" t="s">
        <v>107</v>
      </c>
      <c r="AN1" s="8" t="s">
        <v>108</v>
      </c>
      <c r="AO1" s="8" t="s">
        <v>109</v>
      </c>
      <c r="AP1" s="8" t="s">
        <v>110</v>
      </c>
      <c r="AQ1" s="8" t="s">
        <v>111</v>
      </c>
      <c r="AR1" s="8" t="s">
        <v>112</v>
      </c>
      <c r="AS1" s="8" t="s">
        <v>113</v>
      </c>
      <c r="AT1" s="8" t="s">
        <v>114</v>
      </c>
      <c r="AU1" s="8" t="s">
        <v>115</v>
      </c>
      <c r="AV1" s="8" t="s">
        <v>116</v>
      </c>
      <c r="AW1" s="8" t="s">
        <v>117</v>
      </c>
      <c r="AX1" s="8" t="s">
        <v>118</v>
      </c>
      <c r="AY1" s="8" t="s">
        <v>119</v>
      </c>
      <c r="AZ1" s="8" t="s">
        <v>120</v>
      </c>
      <c r="BA1" s="8" t="s">
        <v>121</v>
      </c>
      <c r="BB1" s="8" t="s">
        <v>122</v>
      </c>
      <c r="BC1" s="8" t="s">
        <v>123</v>
      </c>
      <c r="BD1" s="8" t="s">
        <v>124</v>
      </c>
      <c r="BE1" s="8" t="s">
        <v>125</v>
      </c>
      <c r="BF1" s="8" t="s">
        <v>126</v>
      </c>
      <c r="BG1" s="8" t="s">
        <v>127</v>
      </c>
      <c r="BH1" s="8" t="s">
        <v>128</v>
      </c>
      <c r="BI1" s="8" t="s">
        <v>129</v>
      </c>
      <c r="BJ1" s="8" t="s">
        <v>130</v>
      </c>
      <c r="BK1" s="8" t="s">
        <v>131</v>
      </c>
      <c r="BL1" s="8" t="s">
        <v>132</v>
      </c>
      <c r="BM1" s="8" t="s">
        <v>133</v>
      </c>
      <c r="BN1" s="8" t="s">
        <v>134</v>
      </c>
      <c r="BO1" s="8" t="s">
        <v>135</v>
      </c>
      <c r="BP1" s="8" t="s">
        <v>136</v>
      </c>
      <c r="BQ1" s="8" t="s">
        <v>137</v>
      </c>
      <c r="BR1" s="8" t="s">
        <v>138</v>
      </c>
      <c r="BS1" s="8" t="s">
        <v>139</v>
      </c>
      <c r="BT1" s="8" t="s">
        <v>140</v>
      </c>
      <c r="BU1" s="8" t="s">
        <v>141</v>
      </c>
      <c r="BV1" s="8" t="s">
        <v>142</v>
      </c>
      <c r="BW1" s="8" t="s">
        <v>143</v>
      </c>
      <c r="BX1" s="8" t="s">
        <v>144</v>
      </c>
      <c r="BY1" s="8" t="s">
        <v>145</v>
      </c>
      <c r="BZ1" s="8" t="s">
        <v>146</v>
      </c>
      <c r="CA1" s="8" t="s">
        <v>147</v>
      </c>
      <c r="CB1" s="8" t="s">
        <v>148</v>
      </c>
      <c r="CC1" s="8" t="s">
        <v>149</v>
      </c>
      <c r="CD1" s="8" t="s">
        <v>150</v>
      </c>
      <c r="CE1" s="8" t="s">
        <v>151</v>
      </c>
      <c r="CF1" s="8" t="s">
        <v>152</v>
      </c>
      <c r="CG1" s="8" t="s">
        <v>153</v>
      </c>
      <c r="CH1" s="8" t="s">
        <v>154</v>
      </c>
      <c r="CI1" s="8" t="s">
        <v>155</v>
      </c>
      <c r="CJ1" s="8" t="s">
        <v>156</v>
      </c>
      <c r="CK1" s="8" t="s">
        <v>157</v>
      </c>
      <c r="CL1" s="8" t="s">
        <v>158</v>
      </c>
      <c r="CM1" s="8" t="s">
        <v>159</v>
      </c>
      <c r="CN1" s="8" t="s">
        <v>160</v>
      </c>
      <c r="CO1" s="8" t="s">
        <v>161</v>
      </c>
      <c r="CP1" s="8" t="s">
        <v>162</v>
      </c>
      <c r="CQ1" s="8" t="s">
        <v>163</v>
      </c>
      <c r="CR1" s="8" t="s">
        <v>164</v>
      </c>
      <c r="CS1" s="8" t="s">
        <v>165</v>
      </c>
      <c r="CT1" s="8" t="s">
        <v>166</v>
      </c>
      <c r="CU1" s="8" t="s">
        <v>167</v>
      </c>
      <c r="CV1" s="8" t="s">
        <v>168</v>
      </c>
      <c r="CW1" s="8" t="s">
        <v>169</v>
      </c>
      <c r="CX1" s="8" t="s">
        <v>170</v>
      </c>
      <c r="CY1" s="8" t="s">
        <v>171</v>
      </c>
    </row>
    <row r="2" spans="1:109" ht="16" customHeight="1" x14ac:dyDescent="0.2">
      <c r="A2" s="8" t="s">
        <v>35</v>
      </c>
      <c r="B2" s="8">
        <v>0.2</v>
      </c>
      <c r="C2" s="9" t="s">
        <v>172</v>
      </c>
      <c r="D2" s="9" t="s">
        <v>173</v>
      </c>
      <c r="E2" s="9" t="s">
        <v>174</v>
      </c>
      <c r="F2" s="9" t="s">
        <v>175</v>
      </c>
      <c r="G2" s="9" t="s">
        <v>176</v>
      </c>
      <c r="H2" s="9">
        <v>0.5</v>
      </c>
      <c r="I2" s="9">
        <v>5</v>
      </c>
      <c r="J2" s="9" t="s">
        <v>177</v>
      </c>
      <c r="K2" s="9" t="s">
        <v>178</v>
      </c>
      <c r="L2" s="9" t="s">
        <v>179</v>
      </c>
      <c r="M2" s="9" t="s">
        <v>180</v>
      </c>
      <c r="N2" s="9">
        <v>123</v>
      </c>
      <c r="O2" s="9">
        <v>0.46250000000000002</v>
      </c>
      <c r="P2" s="9">
        <v>0.29166666666666702</v>
      </c>
      <c r="Q2" s="9">
        <v>0.301158301158301</v>
      </c>
      <c r="R2" s="9">
        <v>22.99</v>
      </c>
      <c r="S2" s="9">
        <v>30</v>
      </c>
      <c r="T2" s="9">
        <v>30</v>
      </c>
      <c r="U2" s="9">
        <v>94216</v>
      </c>
      <c r="V2" s="9">
        <v>60</v>
      </c>
      <c r="W2" s="9">
        <v>94276</v>
      </c>
      <c r="X2" s="9">
        <v>30</v>
      </c>
      <c r="Y2" s="9">
        <v>94216</v>
      </c>
      <c r="Z2" s="9">
        <v>60</v>
      </c>
      <c r="AA2" s="9">
        <v>94276</v>
      </c>
      <c r="AB2" s="9">
        <v>610</v>
      </c>
      <c r="AC2" s="9">
        <v>610</v>
      </c>
      <c r="AD2" s="9">
        <v>0</v>
      </c>
      <c r="AE2" s="9">
        <v>0</v>
      </c>
      <c r="AF2" s="9">
        <v>5.7089999999999996</v>
      </c>
      <c r="AG2" s="9">
        <v>17.271000000000001</v>
      </c>
      <c r="AH2" s="9">
        <v>2E-3</v>
      </c>
      <c r="AI2" s="9">
        <v>4.0000000000000001E-3</v>
      </c>
      <c r="AJ2" s="9">
        <v>0.39700000000000002</v>
      </c>
      <c r="AK2" s="9">
        <v>1E-3</v>
      </c>
      <c r="AL2" s="9">
        <v>8.9999999999999993E-3</v>
      </c>
      <c r="AM2" s="9">
        <v>0.13</v>
      </c>
      <c r="AN2" s="9">
        <v>8.9999999999999993E-3</v>
      </c>
      <c r="AO2" s="9">
        <v>16.425000000000001</v>
      </c>
      <c r="AP2" s="9">
        <v>2.3E-2</v>
      </c>
      <c r="AQ2" s="9">
        <v>1E-3</v>
      </c>
      <c r="AR2" s="9">
        <v>1E-3</v>
      </c>
      <c r="AS2" s="9">
        <v>1E-3</v>
      </c>
      <c r="AT2" s="9">
        <v>1E-3</v>
      </c>
      <c r="AU2" s="9">
        <v>17</v>
      </c>
      <c r="AV2" s="9">
        <v>24</v>
      </c>
      <c r="AW2" s="9" t="b">
        <v>0</v>
      </c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</row>
    <row r="3" spans="1:109" ht="16" customHeight="1" x14ac:dyDescent="0.2">
      <c r="A3" s="8" t="s">
        <v>35</v>
      </c>
      <c r="B3" s="8">
        <v>0.2</v>
      </c>
      <c r="C3" s="9" t="s">
        <v>181</v>
      </c>
      <c r="D3" s="9" t="s">
        <v>173</v>
      </c>
      <c r="E3" s="9" t="s">
        <v>174</v>
      </c>
      <c r="F3" s="9" t="s">
        <v>175</v>
      </c>
      <c r="G3" s="9" t="s">
        <v>176</v>
      </c>
      <c r="H3" s="9">
        <v>0.5</v>
      </c>
      <c r="I3" s="9">
        <v>10</v>
      </c>
      <c r="J3" s="9" t="s">
        <v>177</v>
      </c>
      <c r="K3" s="9" t="s">
        <v>178</v>
      </c>
      <c r="L3" s="9" t="s">
        <v>179</v>
      </c>
      <c r="M3" s="9" t="s">
        <v>180</v>
      </c>
      <c r="N3" s="9">
        <v>129</v>
      </c>
      <c r="O3" s="9">
        <v>0.40331196581196599</v>
      </c>
      <c r="P3" s="9">
        <v>0.31004901960784298</v>
      </c>
      <c r="Q3" s="9">
        <v>0.32434360730593598</v>
      </c>
      <c r="R3" s="9">
        <v>21.16</v>
      </c>
      <c r="S3" s="9">
        <v>61</v>
      </c>
      <c r="T3" s="9">
        <v>61</v>
      </c>
      <c r="U3" s="9">
        <v>222121</v>
      </c>
      <c r="V3" s="9">
        <v>122</v>
      </c>
      <c r="W3" s="9">
        <v>222243</v>
      </c>
      <c r="X3" s="9">
        <v>61</v>
      </c>
      <c r="Y3" s="9">
        <v>222121</v>
      </c>
      <c r="Z3" s="9">
        <v>122</v>
      </c>
      <c r="AA3" s="9">
        <v>222243</v>
      </c>
      <c r="AB3" s="9">
        <v>610</v>
      </c>
      <c r="AC3" s="9">
        <v>610</v>
      </c>
      <c r="AD3" s="9">
        <v>0</v>
      </c>
      <c r="AE3" s="9">
        <v>0</v>
      </c>
      <c r="AF3" s="9">
        <v>1E-3</v>
      </c>
      <c r="AG3" s="9">
        <v>21.15</v>
      </c>
      <c r="AH3" s="9">
        <v>3.0000000000000001E-3</v>
      </c>
      <c r="AI3" s="9">
        <v>3.0000000000000001E-3</v>
      </c>
      <c r="AJ3" s="9">
        <v>0.20100000000000001</v>
      </c>
      <c r="AK3" s="9">
        <v>0</v>
      </c>
      <c r="AL3" s="9">
        <v>4.0000000000000001E-3</v>
      </c>
      <c r="AM3" s="9">
        <v>0</v>
      </c>
      <c r="AN3" s="9">
        <v>1.4999999999999999E-2</v>
      </c>
      <c r="AO3" s="9">
        <v>20.803000000000001</v>
      </c>
      <c r="AP3" s="9">
        <v>1.0999999999999999E-2</v>
      </c>
      <c r="AQ3" s="9">
        <v>1E-3</v>
      </c>
      <c r="AR3" s="9">
        <v>1E-3</v>
      </c>
      <c r="AS3" s="9">
        <v>1E-3</v>
      </c>
      <c r="AT3" s="9">
        <v>1E-3</v>
      </c>
      <c r="AU3" s="9">
        <v>21</v>
      </c>
      <c r="AV3" s="9">
        <v>22</v>
      </c>
      <c r="AW3" s="9" t="b">
        <v>0</v>
      </c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</row>
    <row r="4" spans="1:109" ht="16" customHeight="1" x14ac:dyDescent="0.2">
      <c r="A4" s="8" t="s">
        <v>35</v>
      </c>
      <c r="B4" s="8">
        <v>0.2</v>
      </c>
      <c r="C4" s="9" t="s">
        <v>182</v>
      </c>
      <c r="D4" s="9" t="s">
        <v>173</v>
      </c>
      <c r="E4" s="9" t="s">
        <v>174</v>
      </c>
      <c r="F4" s="9" t="s">
        <v>175</v>
      </c>
      <c r="G4" s="9" t="s">
        <v>176</v>
      </c>
      <c r="H4" s="9">
        <v>0.5</v>
      </c>
      <c r="I4" s="9">
        <v>15</v>
      </c>
      <c r="J4" s="9" t="s">
        <v>177</v>
      </c>
      <c r="K4" s="9" t="s">
        <v>178</v>
      </c>
      <c r="L4" s="9" t="s">
        <v>179</v>
      </c>
      <c r="M4" s="9" t="s">
        <v>180</v>
      </c>
      <c r="N4" s="9">
        <v>131</v>
      </c>
      <c r="O4" s="9">
        <v>0.43552465233881199</v>
      </c>
      <c r="P4" s="9">
        <v>0.37009803921568601</v>
      </c>
      <c r="Q4" s="9">
        <v>0.390452876376989</v>
      </c>
      <c r="R4" s="9">
        <v>23.27</v>
      </c>
      <c r="S4" s="9">
        <v>91</v>
      </c>
      <c r="T4" s="9">
        <v>91</v>
      </c>
      <c r="U4" s="9">
        <v>292335</v>
      </c>
      <c r="V4" s="9">
        <v>182</v>
      </c>
      <c r="W4" s="9">
        <v>292517</v>
      </c>
      <c r="X4" s="9">
        <v>91</v>
      </c>
      <c r="Y4" s="9">
        <v>292335</v>
      </c>
      <c r="Z4" s="9">
        <v>182</v>
      </c>
      <c r="AA4" s="9">
        <v>292517</v>
      </c>
      <c r="AB4" s="9">
        <v>610</v>
      </c>
      <c r="AC4" s="9">
        <v>610</v>
      </c>
      <c r="AD4" s="9">
        <v>0</v>
      </c>
      <c r="AE4" s="9">
        <v>0</v>
      </c>
      <c r="AF4" s="9">
        <v>1E-3</v>
      </c>
      <c r="AG4" s="9">
        <v>23.257999999999999</v>
      </c>
      <c r="AH4" s="9">
        <v>3.0000000000000001E-3</v>
      </c>
      <c r="AI4" s="9">
        <v>3.0000000000000001E-3</v>
      </c>
      <c r="AJ4" s="9">
        <v>0.185</v>
      </c>
      <c r="AK4" s="9">
        <v>1E-3</v>
      </c>
      <c r="AL4" s="9">
        <v>5.0000000000000001E-3</v>
      </c>
      <c r="AM4" s="9">
        <v>0</v>
      </c>
      <c r="AN4" s="9">
        <v>1.4999999999999999E-2</v>
      </c>
      <c r="AO4" s="9">
        <v>22.975999999999999</v>
      </c>
      <c r="AP4" s="9">
        <v>1.0999999999999999E-2</v>
      </c>
      <c r="AQ4" s="9">
        <v>1E-3</v>
      </c>
      <c r="AR4" s="9">
        <v>1E-3</v>
      </c>
      <c r="AS4" s="9">
        <v>1E-3</v>
      </c>
      <c r="AT4" s="9">
        <v>1E-3</v>
      </c>
      <c r="AU4" s="9">
        <v>17</v>
      </c>
      <c r="AV4" s="9">
        <v>21</v>
      </c>
      <c r="AW4" s="9" t="b">
        <v>0</v>
      </c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</row>
    <row r="5" spans="1:109" ht="16" customHeight="1" x14ac:dyDescent="0.2">
      <c r="A5" s="8" t="s">
        <v>35</v>
      </c>
      <c r="B5" s="8">
        <v>0.2</v>
      </c>
      <c r="C5" s="9" t="s">
        <v>183</v>
      </c>
      <c r="D5" s="9" t="s">
        <v>173</v>
      </c>
      <c r="E5" s="9" t="s">
        <v>174</v>
      </c>
      <c r="F5" s="9" t="s">
        <v>175</v>
      </c>
      <c r="G5" s="9" t="s">
        <v>176</v>
      </c>
      <c r="H5" s="9">
        <v>0.5</v>
      </c>
      <c r="I5" s="9">
        <v>20</v>
      </c>
      <c r="J5" s="9" t="s">
        <v>177</v>
      </c>
      <c r="K5" s="9" t="s">
        <v>178</v>
      </c>
      <c r="L5" s="9" t="s">
        <v>179</v>
      </c>
      <c r="M5" s="9" t="s">
        <v>180</v>
      </c>
      <c r="N5" s="9">
        <v>129</v>
      </c>
      <c r="O5" s="9">
        <v>0.72499999999999998</v>
      </c>
      <c r="P5" s="9">
        <v>0.44502801120448199</v>
      </c>
      <c r="Q5" s="9">
        <v>0.495990566037736</v>
      </c>
      <c r="R5" s="9">
        <v>33.299999999999997</v>
      </c>
      <c r="S5" s="9">
        <v>122</v>
      </c>
      <c r="T5" s="9">
        <v>122</v>
      </c>
      <c r="U5" s="9">
        <v>433510</v>
      </c>
      <c r="V5" s="9">
        <v>244</v>
      </c>
      <c r="W5" s="9">
        <v>433754</v>
      </c>
      <c r="X5" s="9">
        <v>122</v>
      </c>
      <c r="Y5" s="9">
        <v>433510</v>
      </c>
      <c r="Z5" s="9">
        <v>244</v>
      </c>
      <c r="AA5" s="9">
        <v>433754</v>
      </c>
      <c r="AB5" s="9">
        <v>610</v>
      </c>
      <c r="AC5" s="9">
        <v>610</v>
      </c>
      <c r="AD5" s="9">
        <v>0</v>
      </c>
      <c r="AE5" s="9">
        <v>0</v>
      </c>
      <c r="AF5" s="9">
        <v>1E-3</v>
      </c>
      <c r="AG5" s="9">
        <v>33.290999999999997</v>
      </c>
      <c r="AH5" s="9">
        <v>3.0000000000000001E-3</v>
      </c>
      <c r="AI5" s="9">
        <v>3.0000000000000001E-3</v>
      </c>
      <c r="AJ5" s="9">
        <v>0.17</v>
      </c>
      <c r="AK5" s="9">
        <v>0</v>
      </c>
      <c r="AL5" s="9">
        <v>5.0000000000000001E-3</v>
      </c>
      <c r="AM5" s="9">
        <v>0</v>
      </c>
      <c r="AN5" s="9">
        <v>1.9E-2</v>
      </c>
      <c r="AO5" s="9">
        <v>33.017000000000003</v>
      </c>
      <c r="AP5" s="9">
        <v>1.2E-2</v>
      </c>
      <c r="AQ5" s="9">
        <v>1E-3</v>
      </c>
      <c r="AR5" s="9">
        <v>1E-3</v>
      </c>
      <c r="AS5" s="9">
        <v>1E-3</v>
      </c>
      <c r="AT5" s="9">
        <v>1E-3</v>
      </c>
      <c r="AU5" s="9">
        <v>19</v>
      </c>
      <c r="AV5" s="9">
        <v>21</v>
      </c>
      <c r="AW5" s="9" t="b">
        <v>0</v>
      </c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</row>
    <row r="6" spans="1:109" ht="16" customHeight="1" x14ac:dyDescent="0.2">
      <c r="A6" s="8" t="s">
        <v>35</v>
      </c>
      <c r="B6" s="8">
        <v>0.2</v>
      </c>
      <c r="C6" s="9" t="s">
        <v>184</v>
      </c>
      <c r="D6" s="9" t="s">
        <v>173</v>
      </c>
      <c r="E6" s="9" t="s">
        <v>174</v>
      </c>
      <c r="F6" s="9" t="s">
        <v>175</v>
      </c>
      <c r="G6" s="9" t="s">
        <v>176</v>
      </c>
      <c r="H6" s="9">
        <v>0.5</v>
      </c>
      <c r="I6" s="9">
        <v>25</v>
      </c>
      <c r="J6" s="9" t="s">
        <v>177</v>
      </c>
      <c r="K6" s="9" t="s">
        <v>178</v>
      </c>
      <c r="L6" s="9" t="s">
        <v>179</v>
      </c>
      <c r="M6" s="9" t="s">
        <v>180</v>
      </c>
      <c r="N6" s="9">
        <v>121</v>
      </c>
      <c r="O6" s="9">
        <v>0.47123893805309702</v>
      </c>
      <c r="P6" s="9">
        <v>0.39093137254902</v>
      </c>
      <c r="Q6" s="9">
        <v>0.41676866585067301</v>
      </c>
      <c r="R6" s="9">
        <v>32.82</v>
      </c>
      <c r="S6" s="9">
        <v>152</v>
      </c>
      <c r="T6" s="9">
        <v>152</v>
      </c>
      <c r="U6" s="9">
        <v>519704</v>
      </c>
      <c r="V6" s="9">
        <v>304</v>
      </c>
      <c r="W6" s="9">
        <v>520008</v>
      </c>
      <c r="X6" s="9">
        <v>152</v>
      </c>
      <c r="Y6" s="9">
        <v>519704</v>
      </c>
      <c r="Z6" s="9">
        <v>304</v>
      </c>
      <c r="AA6" s="9">
        <v>520008</v>
      </c>
      <c r="AB6" s="9">
        <v>610</v>
      </c>
      <c r="AC6" s="9">
        <v>610</v>
      </c>
      <c r="AD6" s="9">
        <v>0</v>
      </c>
      <c r="AE6" s="9">
        <v>0</v>
      </c>
      <c r="AF6" s="9">
        <v>1E-3</v>
      </c>
      <c r="AG6" s="9">
        <v>32.814</v>
      </c>
      <c r="AH6" s="9">
        <v>3.0000000000000001E-3</v>
      </c>
      <c r="AI6" s="9">
        <v>2E-3</v>
      </c>
      <c r="AJ6" s="9">
        <v>0.16</v>
      </c>
      <c r="AK6" s="9">
        <v>0</v>
      </c>
      <c r="AL6" s="9">
        <v>5.0000000000000001E-3</v>
      </c>
      <c r="AM6" s="9">
        <v>0</v>
      </c>
      <c r="AN6" s="9">
        <v>1.9E-2</v>
      </c>
      <c r="AO6" s="9">
        <v>32.552</v>
      </c>
      <c r="AP6" s="9">
        <v>1.2999999999999999E-2</v>
      </c>
      <c r="AQ6" s="9">
        <v>1E-3</v>
      </c>
      <c r="AR6" s="9">
        <v>1E-3</v>
      </c>
      <c r="AS6" s="9">
        <v>0</v>
      </c>
      <c r="AT6" s="9">
        <v>0</v>
      </c>
      <c r="AU6" s="9">
        <v>18</v>
      </c>
      <c r="AV6" s="9">
        <v>20</v>
      </c>
      <c r="AW6" s="9" t="b">
        <v>0</v>
      </c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</row>
    <row r="7" spans="1:109" ht="16" customHeight="1" x14ac:dyDescent="0.2">
      <c r="A7" s="8" t="s">
        <v>35</v>
      </c>
      <c r="B7" s="8">
        <v>0.2</v>
      </c>
      <c r="C7" s="9" t="s">
        <v>185</v>
      </c>
      <c r="D7" s="9" t="s">
        <v>186</v>
      </c>
      <c r="E7" s="9" t="s">
        <v>186</v>
      </c>
      <c r="F7" s="9" t="s">
        <v>187</v>
      </c>
      <c r="G7" s="9" t="s">
        <v>176</v>
      </c>
      <c r="H7" s="9">
        <v>0.5</v>
      </c>
      <c r="I7" s="9">
        <v>100</v>
      </c>
      <c r="J7" s="9" t="s">
        <v>188</v>
      </c>
      <c r="K7" s="9" t="s">
        <v>188</v>
      </c>
      <c r="L7" s="9" t="s">
        <v>179</v>
      </c>
      <c r="M7" s="9" t="s">
        <v>180</v>
      </c>
      <c r="N7" s="9">
        <v>165</v>
      </c>
      <c r="O7" s="9">
        <v>0.633387445887446</v>
      </c>
      <c r="P7" s="9">
        <v>0.63200280112044804</v>
      </c>
      <c r="Q7" s="9">
        <v>0.60792220113852002</v>
      </c>
      <c r="R7" s="9">
        <v>125.56</v>
      </c>
      <c r="S7" s="9">
        <v>152</v>
      </c>
      <c r="T7" s="9">
        <v>610</v>
      </c>
      <c r="U7" s="9">
        <v>2155838</v>
      </c>
      <c r="V7" s="9">
        <v>1220</v>
      </c>
      <c r="W7" s="9">
        <v>2157058</v>
      </c>
      <c r="X7" s="9">
        <v>0</v>
      </c>
      <c r="Y7" s="9">
        <v>0</v>
      </c>
      <c r="Z7" s="9">
        <v>0</v>
      </c>
      <c r="AA7" s="9">
        <v>0</v>
      </c>
      <c r="AB7" s="9">
        <v>610</v>
      </c>
      <c r="AC7" s="9">
        <v>610</v>
      </c>
      <c r="AD7" s="9">
        <v>0</v>
      </c>
      <c r="AE7" s="9">
        <v>0</v>
      </c>
      <c r="AF7" s="9">
        <v>1E-3</v>
      </c>
      <c r="AG7" s="9">
        <v>125.55200000000001</v>
      </c>
      <c r="AH7" s="9">
        <v>3.0000000000000001E-3</v>
      </c>
      <c r="AI7" s="9">
        <v>2E-3</v>
      </c>
      <c r="AJ7" s="9">
        <v>0.16</v>
      </c>
      <c r="AK7" s="9">
        <v>0</v>
      </c>
      <c r="AL7" s="9">
        <v>5.0000000000000001E-3</v>
      </c>
      <c r="AM7" s="9">
        <v>0</v>
      </c>
      <c r="AN7" s="9">
        <v>1.9E-2</v>
      </c>
      <c r="AO7" s="9">
        <v>32.552</v>
      </c>
      <c r="AP7" s="9">
        <v>1.2999999999999999E-2</v>
      </c>
      <c r="AQ7" s="9">
        <v>1E-3</v>
      </c>
      <c r="AR7" s="9">
        <v>1E-3</v>
      </c>
      <c r="AS7" s="9">
        <v>0</v>
      </c>
      <c r="AT7" s="9">
        <v>0</v>
      </c>
      <c r="AU7" s="9">
        <v>18</v>
      </c>
      <c r="AV7" s="9">
        <v>20</v>
      </c>
      <c r="AW7" s="9" t="b">
        <v>0</v>
      </c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</row>
    <row r="10" spans="1:109" x14ac:dyDescent="0.2">
      <c r="A10" s="8" t="s">
        <v>0</v>
      </c>
      <c r="B10" s="8" t="s">
        <v>54</v>
      </c>
      <c r="C10" s="8" t="s">
        <v>71</v>
      </c>
      <c r="D10" s="8" t="s">
        <v>72</v>
      </c>
      <c r="E10" s="8" t="s">
        <v>73</v>
      </c>
      <c r="F10" s="8" t="s">
        <v>74</v>
      </c>
      <c r="G10" s="8" t="s">
        <v>75</v>
      </c>
      <c r="H10" s="8" t="s">
        <v>76</v>
      </c>
      <c r="I10" s="8" t="s">
        <v>77</v>
      </c>
      <c r="J10" s="8" t="s">
        <v>78</v>
      </c>
      <c r="K10" s="8" t="s">
        <v>79</v>
      </c>
      <c r="L10" s="8" t="s">
        <v>80</v>
      </c>
      <c r="M10" s="8" t="s">
        <v>81</v>
      </c>
      <c r="N10" s="8" t="s">
        <v>82</v>
      </c>
      <c r="O10" s="8" t="s">
        <v>83</v>
      </c>
      <c r="P10" s="8" t="s">
        <v>84</v>
      </c>
      <c r="Q10" s="8" t="s">
        <v>85</v>
      </c>
      <c r="R10" s="8" t="s">
        <v>86</v>
      </c>
      <c r="S10" s="8" t="s">
        <v>87</v>
      </c>
      <c r="T10" s="8" t="s">
        <v>88</v>
      </c>
      <c r="U10" s="8" t="s">
        <v>89</v>
      </c>
      <c r="V10" s="8" t="s">
        <v>90</v>
      </c>
      <c r="W10" s="8" t="s">
        <v>91</v>
      </c>
      <c r="X10" s="8" t="s">
        <v>92</v>
      </c>
      <c r="Y10" s="8" t="s">
        <v>93</v>
      </c>
      <c r="Z10" s="8" t="s">
        <v>94</v>
      </c>
      <c r="AA10" s="8" t="s">
        <v>95</v>
      </c>
      <c r="AB10" s="8" t="s">
        <v>96</v>
      </c>
      <c r="AC10" s="8" t="s">
        <v>97</v>
      </c>
      <c r="AD10" s="8" t="s">
        <v>98</v>
      </c>
      <c r="AE10" s="8" t="s">
        <v>99</v>
      </c>
      <c r="AF10" s="8" t="s">
        <v>100</v>
      </c>
      <c r="AG10" s="8" t="s">
        <v>101</v>
      </c>
      <c r="AH10" s="8" t="s">
        <v>102</v>
      </c>
      <c r="AI10" s="8" t="s">
        <v>103</v>
      </c>
      <c r="AJ10" s="8" t="s">
        <v>104</v>
      </c>
      <c r="AK10" s="8" t="s">
        <v>105</v>
      </c>
      <c r="AL10" s="8" t="s">
        <v>106</v>
      </c>
      <c r="AM10" s="8" t="s">
        <v>107</v>
      </c>
      <c r="AN10" s="8" t="s">
        <v>108</v>
      </c>
      <c r="AO10" s="8" t="s">
        <v>109</v>
      </c>
      <c r="AP10" s="8" t="s">
        <v>110</v>
      </c>
      <c r="AQ10" s="8" t="s">
        <v>111</v>
      </c>
      <c r="AR10" s="8" t="s">
        <v>112</v>
      </c>
      <c r="AS10" s="8" t="s">
        <v>113</v>
      </c>
      <c r="AT10" s="8" t="s">
        <v>114</v>
      </c>
      <c r="AU10" s="8" t="s">
        <v>115</v>
      </c>
      <c r="AV10" s="8" t="s">
        <v>116</v>
      </c>
      <c r="AW10" s="8" t="s">
        <v>117</v>
      </c>
      <c r="AX10" s="8" t="s">
        <v>118</v>
      </c>
      <c r="AY10" s="8" t="s">
        <v>119</v>
      </c>
      <c r="AZ10" s="8" t="s">
        <v>120</v>
      </c>
      <c r="BA10" s="8" t="s">
        <v>121</v>
      </c>
      <c r="BB10" s="8" t="s">
        <v>122</v>
      </c>
      <c r="BC10" s="8" t="s">
        <v>123</v>
      </c>
      <c r="BD10" s="8" t="s">
        <v>124</v>
      </c>
      <c r="BE10" s="8" t="s">
        <v>125</v>
      </c>
      <c r="BF10" s="8" t="s">
        <v>126</v>
      </c>
      <c r="BG10" s="8" t="s">
        <v>127</v>
      </c>
      <c r="BH10" s="8" t="s">
        <v>128</v>
      </c>
      <c r="BI10" s="8" t="s">
        <v>129</v>
      </c>
      <c r="BJ10" s="8" t="s">
        <v>130</v>
      </c>
      <c r="BK10" s="8" t="s">
        <v>131</v>
      </c>
      <c r="BL10" s="8" t="s">
        <v>132</v>
      </c>
      <c r="BM10" s="8" t="s">
        <v>133</v>
      </c>
      <c r="BN10" s="8" t="s">
        <v>134</v>
      </c>
      <c r="BO10" s="8" t="s">
        <v>135</v>
      </c>
      <c r="BP10" s="8" t="s">
        <v>136</v>
      </c>
      <c r="BQ10" s="8" t="s">
        <v>137</v>
      </c>
      <c r="BR10" s="8" t="s">
        <v>138</v>
      </c>
      <c r="BS10" s="8" t="s">
        <v>139</v>
      </c>
      <c r="BT10" s="8" t="s">
        <v>140</v>
      </c>
      <c r="BU10" s="8" t="s">
        <v>141</v>
      </c>
      <c r="BV10" s="8" t="s">
        <v>142</v>
      </c>
      <c r="BW10" s="8" t="s">
        <v>143</v>
      </c>
      <c r="BX10" s="8" t="s">
        <v>144</v>
      </c>
      <c r="BY10" s="8" t="s">
        <v>145</v>
      </c>
      <c r="BZ10" s="8" t="s">
        <v>146</v>
      </c>
      <c r="CA10" s="8" t="s">
        <v>147</v>
      </c>
      <c r="CB10" s="8" t="s">
        <v>148</v>
      </c>
      <c r="CC10" s="8" t="s">
        <v>149</v>
      </c>
      <c r="CD10" s="8" t="s">
        <v>150</v>
      </c>
      <c r="CE10" s="8" t="s">
        <v>151</v>
      </c>
      <c r="CF10" s="8" t="s">
        <v>152</v>
      </c>
      <c r="CG10" s="8" t="s">
        <v>153</v>
      </c>
      <c r="CH10" s="8" t="s">
        <v>154</v>
      </c>
      <c r="CI10" s="8" t="s">
        <v>155</v>
      </c>
      <c r="CJ10" s="8" t="s">
        <v>156</v>
      </c>
      <c r="CK10" s="8" t="s">
        <v>157</v>
      </c>
      <c r="CL10" s="8" t="s">
        <v>158</v>
      </c>
      <c r="CM10" s="8" t="s">
        <v>159</v>
      </c>
      <c r="CN10" s="8" t="s">
        <v>160</v>
      </c>
      <c r="CO10" s="8" t="s">
        <v>161</v>
      </c>
      <c r="CP10" s="8" t="s">
        <v>162</v>
      </c>
      <c r="CQ10" s="8" t="s">
        <v>163</v>
      </c>
      <c r="CR10" s="8" t="s">
        <v>164</v>
      </c>
      <c r="CS10" s="8" t="s">
        <v>165</v>
      </c>
      <c r="CT10" s="8" t="s">
        <v>166</v>
      </c>
      <c r="CU10" s="8" t="s">
        <v>167</v>
      </c>
      <c r="CV10" s="8" t="s">
        <v>168</v>
      </c>
      <c r="CW10" s="8" t="s">
        <v>169</v>
      </c>
      <c r="CX10" s="8" t="s">
        <v>170</v>
      </c>
      <c r="CY10" s="8" t="s">
        <v>171</v>
      </c>
      <c r="CZ10" s="8" t="s">
        <v>189</v>
      </c>
      <c r="DA10" s="8" t="s">
        <v>190</v>
      </c>
      <c r="DB10" s="8" t="s">
        <v>191</v>
      </c>
      <c r="DC10" s="8" t="s">
        <v>192</v>
      </c>
      <c r="DD10" s="8" t="s">
        <v>193</v>
      </c>
      <c r="DE10" s="8" t="s">
        <v>194</v>
      </c>
    </row>
    <row r="11" spans="1:109" ht="16" customHeight="1" x14ac:dyDescent="0.2">
      <c r="A11" s="8" t="s">
        <v>44</v>
      </c>
      <c r="B11" s="8">
        <v>0.49259999999999998</v>
      </c>
      <c r="C11" s="9" t="s">
        <v>195</v>
      </c>
      <c r="D11" s="9" t="s">
        <v>173</v>
      </c>
      <c r="E11" s="9" t="s">
        <v>174</v>
      </c>
      <c r="F11" s="9" t="s">
        <v>175</v>
      </c>
      <c r="G11" s="9" t="s">
        <v>176</v>
      </c>
      <c r="H11" s="9">
        <v>0.5</v>
      </c>
      <c r="I11" s="9">
        <v>5</v>
      </c>
      <c r="J11" s="9" t="s">
        <v>177</v>
      </c>
      <c r="K11" s="9" t="s">
        <v>178</v>
      </c>
      <c r="L11" s="9" t="s">
        <v>179</v>
      </c>
      <c r="M11" s="9" t="s">
        <v>180</v>
      </c>
      <c r="N11" s="9">
        <v>12704</v>
      </c>
      <c r="O11" s="9">
        <v>0.623188405797101</v>
      </c>
      <c r="P11" s="9">
        <v>0.25569871159563901</v>
      </c>
      <c r="Q11" s="20">
        <v>0.36261419536191197</v>
      </c>
      <c r="R11" s="9">
        <v>14.56</v>
      </c>
      <c r="S11" s="9">
        <v>3276</v>
      </c>
      <c r="T11" s="9">
        <v>3276</v>
      </c>
      <c r="U11" s="9">
        <v>558749</v>
      </c>
      <c r="V11" s="9">
        <v>37674</v>
      </c>
      <c r="W11" s="9">
        <v>596423</v>
      </c>
      <c r="X11" s="9">
        <v>110</v>
      </c>
      <c r="Y11" s="9">
        <v>558749</v>
      </c>
      <c r="Z11" s="9">
        <v>37674</v>
      </c>
      <c r="AA11" s="9">
        <v>596423</v>
      </c>
      <c r="AB11" s="9">
        <v>65280</v>
      </c>
      <c r="AC11" s="9">
        <v>65280</v>
      </c>
      <c r="AD11" s="9">
        <v>0</v>
      </c>
      <c r="AE11" s="9">
        <v>0</v>
      </c>
      <c r="AF11" s="9">
        <v>0.14000000000000001</v>
      </c>
      <c r="AG11" s="9">
        <v>14.11</v>
      </c>
      <c r="AH11" s="9">
        <v>1.4999999999999999E-2</v>
      </c>
      <c r="AI11" s="9">
        <v>0.29199999999999998</v>
      </c>
      <c r="AJ11" s="9">
        <v>0.35899999999999999</v>
      </c>
      <c r="AK11" s="9">
        <v>1.4999999999999999E-2</v>
      </c>
      <c r="AL11" s="9">
        <v>0.26500000000000001</v>
      </c>
      <c r="AM11" s="9">
        <v>2.7E-2</v>
      </c>
      <c r="AN11" s="9">
        <v>0.51200000000000001</v>
      </c>
      <c r="AO11" s="9">
        <v>12.427</v>
      </c>
      <c r="AP11" s="9">
        <v>7.9000000000000001E-2</v>
      </c>
      <c r="AQ11" s="9">
        <v>0.104</v>
      </c>
      <c r="AR11" s="9">
        <v>9.4E-2</v>
      </c>
      <c r="AS11" s="9">
        <v>3.5000000000000003E-2</v>
      </c>
      <c r="AT11" s="9">
        <v>5.8000000000000003E-2</v>
      </c>
      <c r="AU11" s="9">
        <v>7</v>
      </c>
      <c r="AV11" s="9">
        <v>13</v>
      </c>
      <c r="AW11" s="9" t="b">
        <v>0</v>
      </c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</row>
    <row r="12" spans="1:109" ht="16" customHeight="1" x14ac:dyDescent="0.2">
      <c r="A12" s="8" t="s">
        <v>44</v>
      </c>
      <c r="B12" s="8">
        <v>0.49259999999999998</v>
      </c>
      <c r="C12" s="9" t="s">
        <v>196</v>
      </c>
      <c r="D12" s="9" t="s">
        <v>173</v>
      </c>
      <c r="E12" s="9" t="s">
        <v>174</v>
      </c>
      <c r="F12" s="9" t="s">
        <v>175</v>
      </c>
      <c r="G12" s="9" t="s">
        <v>176</v>
      </c>
      <c r="H12" s="9">
        <v>0.5</v>
      </c>
      <c r="I12" s="9">
        <v>10</v>
      </c>
      <c r="J12" s="9" t="s">
        <v>177</v>
      </c>
      <c r="K12" s="9" t="s">
        <v>178</v>
      </c>
      <c r="L12" s="9" t="s">
        <v>179</v>
      </c>
      <c r="M12" s="9" t="s">
        <v>180</v>
      </c>
      <c r="N12" s="9">
        <v>6504</v>
      </c>
      <c r="O12" s="9">
        <v>0.740976645435244</v>
      </c>
      <c r="P12" s="9">
        <v>0.17294350842418199</v>
      </c>
      <c r="Q12" s="20">
        <v>0.280433909200482</v>
      </c>
      <c r="R12" s="9">
        <v>21.18</v>
      </c>
      <c r="S12" s="9">
        <v>6553</v>
      </c>
      <c r="T12" s="9">
        <v>6553</v>
      </c>
      <c r="U12" s="9">
        <v>1131019</v>
      </c>
      <c r="V12" s="9">
        <v>72830</v>
      </c>
      <c r="W12" s="9">
        <v>1203849</v>
      </c>
      <c r="X12" s="9">
        <v>210</v>
      </c>
      <c r="Y12" s="9">
        <v>1131019</v>
      </c>
      <c r="Z12" s="9">
        <v>72830</v>
      </c>
      <c r="AA12" s="9">
        <v>1203849</v>
      </c>
      <c r="AB12" s="9">
        <v>65280</v>
      </c>
      <c r="AC12" s="9">
        <v>65280</v>
      </c>
      <c r="AD12" s="9">
        <v>0</v>
      </c>
      <c r="AE12" s="9">
        <v>0</v>
      </c>
      <c r="AF12" s="9">
        <v>0.13700000000000001</v>
      </c>
      <c r="AG12" s="9">
        <v>20.713000000000001</v>
      </c>
      <c r="AH12" s="9">
        <v>2.8000000000000001E-2</v>
      </c>
      <c r="AI12" s="9">
        <v>0.29699999999999999</v>
      </c>
      <c r="AJ12" s="9">
        <v>0.121</v>
      </c>
      <c r="AK12" s="9">
        <v>0.01</v>
      </c>
      <c r="AL12" s="9">
        <v>0.25600000000000001</v>
      </c>
      <c r="AM12" s="9">
        <v>1.9E-2</v>
      </c>
      <c r="AN12" s="9">
        <v>0.52</v>
      </c>
      <c r="AO12" s="9">
        <v>19.629000000000001</v>
      </c>
      <c r="AP12" s="9">
        <v>3.9E-2</v>
      </c>
      <c r="AQ12" s="9">
        <v>0.106</v>
      </c>
      <c r="AR12" s="9">
        <v>9.4E-2</v>
      </c>
      <c r="AS12" s="9">
        <v>3.9E-2</v>
      </c>
      <c r="AT12" s="9">
        <v>5.8999999999999997E-2</v>
      </c>
      <c r="AU12" s="9">
        <v>8</v>
      </c>
      <c r="AV12" s="9">
        <v>13</v>
      </c>
      <c r="AW12" s="9" t="b">
        <v>0</v>
      </c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spans="1:109" ht="16" customHeight="1" x14ac:dyDescent="0.2">
      <c r="A13" s="8" t="s">
        <v>44</v>
      </c>
      <c r="B13" s="8">
        <v>0.49259999999999998</v>
      </c>
      <c r="C13" s="9" t="s">
        <v>197</v>
      </c>
      <c r="D13" s="9" t="s">
        <v>173</v>
      </c>
      <c r="E13" s="9" t="s">
        <v>174</v>
      </c>
      <c r="F13" s="9" t="s">
        <v>175</v>
      </c>
      <c r="G13" s="9" t="s">
        <v>176</v>
      </c>
      <c r="H13" s="9">
        <v>0.5</v>
      </c>
      <c r="I13" s="9">
        <v>15</v>
      </c>
      <c r="J13" s="9" t="s">
        <v>177</v>
      </c>
      <c r="K13" s="9" t="s">
        <v>178</v>
      </c>
      <c r="L13" s="9" t="s">
        <v>179</v>
      </c>
      <c r="M13" s="9" t="s">
        <v>180</v>
      </c>
      <c r="N13" s="9">
        <v>6822</v>
      </c>
      <c r="O13" s="9">
        <v>0.84028484231943001</v>
      </c>
      <c r="P13" s="9">
        <v>0.204658077304262</v>
      </c>
      <c r="Q13" s="20">
        <v>0.32914923291492298</v>
      </c>
      <c r="R13" s="9">
        <v>27.63</v>
      </c>
      <c r="S13" s="9">
        <v>9830</v>
      </c>
      <c r="T13" s="9">
        <v>9830</v>
      </c>
      <c r="U13" s="9">
        <v>1678071</v>
      </c>
      <c r="V13" s="9">
        <v>116904</v>
      </c>
      <c r="W13" s="9">
        <v>1794975</v>
      </c>
      <c r="X13" s="9">
        <v>310</v>
      </c>
      <c r="Y13" s="9">
        <v>1678071</v>
      </c>
      <c r="Z13" s="9">
        <v>116904</v>
      </c>
      <c r="AA13" s="9">
        <v>1794975</v>
      </c>
      <c r="AB13" s="9">
        <v>65280</v>
      </c>
      <c r="AC13" s="9">
        <v>65280</v>
      </c>
      <c r="AD13" s="9">
        <v>0</v>
      </c>
      <c r="AE13" s="9">
        <v>0</v>
      </c>
      <c r="AF13" s="9">
        <v>0.13600000000000001</v>
      </c>
      <c r="AG13" s="9">
        <v>27.166</v>
      </c>
      <c r="AH13" s="9">
        <v>7.0999999999999994E-2</v>
      </c>
      <c r="AI13" s="9">
        <v>0.253</v>
      </c>
      <c r="AJ13" s="9">
        <v>0.115</v>
      </c>
      <c r="AK13" s="9">
        <v>1.2E-2</v>
      </c>
      <c r="AL13" s="9">
        <v>0.27</v>
      </c>
      <c r="AM13" s="9">
        <v>8.9999999999999993E-3</v>
      </c>
      <c r="AN13" s="9">
        <v>0.56200000000000006</v>
      </c>
      <c r="AO13" s="9">
        <v>26.03</v>
      </c>
      <c r="AP13" s="9">
        <v>4.2999999999999997E-2</v>
      </c>
      <c r="AQ13" s="9">
        <v>9.7000000000000003E-2</v>
      </c>
      <c r="AR13" s="9">
        <v>7.4999999999999997E-2</v>
      </c>
      <c r="AS13" s="9">
        <v>3.3000000000000002E-2</v>
      </c>
      <c r="AT13" s="9">
        <v>4.8000000000000001E-2</v>
      </c>
      <c r="AU13" s="9">
        <v>8</v>
      </c>
      <c r="AV13" s="9">
        <v>13</v>
      </c>
      <c r="AW13" s="9" t="b">
        <v>0</v>
      </c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</row>
    <row r="14" spans="1:109" ht="16" customHeight="1" x14ac:dyDescent="0.2">
      <c r="A14" s="8" t="s">
        <v>44</v>
      </c>
      <c r="B14" s="8">
        <v>0.49259999999999998</v>
      </c>
      <c r="C14" s="9" t="s">
        <v>198</v>
      </c>
      <c r="D14" s="9" t="s">
        <v>173</v>
      </c>
      <c r="E14" s="9" t="s">
        <v>174</v>
      </c>
      <c r="F14" s="9" t="s">
        <v>175</v>
      </c>
      <c r="G14" s="9" t="s">
        <v>176</v>
      </c>
      <c r="H14" s="9">
        <v>0.5</v>
      </c>
      <c r="I14" s="9">
        <v>20</v>
      </c>
      <c r="J14" s="9" t="s">
        <v>177</v>
      </c>
      <c r="K14" s="9" t="s">
        <v>178</v>
      </c>
      <c r="L14" s="9" t="s">
        <v>179</v>
      </c>
      <c r="M14" s="9" t="s">
        <v>180</v>
      </c>
      <c r="N14" s="9">
        <v>6275</v>
      </c>
      <c r="O14" s="9">
        <v>0.86070686070686098</v>
      </c>
      <c r="P14" s="9">
        <v>0.205153617443013</v>
      </c>
      <c r="Q14" s="20">
        <v>0.33133253301320498</v>
      </c>
      <c r="R14" s="9">
        <v>34.630000000000003</v>
      </c>
      <c r="S14" s="9">
        <v>13107</v>
      </c>
      <c r="T14" s="9">
        <v>13107</v>
      </c>
      <c r="U14" s="9">
        <v>2223410</v>
      </c>
      <c r="V14" s="9">
        <v>152592</v>
      </c>
      <c r="W14" s="9">
        <v>2376002</v>
      </c>
      <c r="X14" s="9">
        <v>410</v>
      </c>
      <c r="Y14" s="9">
        <v>2223410</v>
      </c>
      <c r="Z14" s="9">
        <v>152592</v>
      </c>
      <c r="AA14" s="9">
        <v>2376002</v>
      </c>
      <c r="AB14" s="9">
        <v>65280</v>
      </c>
      <c r="AC14" s="9">
        <v>65280</v>
      </c>
      <c r="AD14" s="9">
        <v>0</v>
      </c>
      <c r="AE14" s="9">
        <v>0</v>
      </c>
      <c r="AF14" s="9">
        <v>0.13800000000000001</v>
      </c>
      <c r="AG14" s="9">
        <v>34.185000000000002</v>
      </c>
      <c r="AH14" s="9">
        <v>5.7000000000000002E-2</v>
      </c>
      <c r="AI14" s="9">
        <v>0.252</v>
      </c>
      <c r="AJ14" s="9">
        <v>0.114</v>
      </c>
      <c r="AK14" s="9">
        <v>1.0999999999999999E-2</v>
      </c>
      <c r="AL14" s="9">
        <v>0.25800000000000001</v>
      </c>
      <c r="AM14" s="9">
        <v>1.7999999999999999E-2</v>
      </c>
      <c r="AN14" s="9">
        <v>0.59</v>
      </c>
      <c r="AO14" s="9">
        <v>33.031999999999996</v>
      </c>
      <c r="AP14" s="9">
        <v>3.9E-2</v>
      </c>
      <c r="AQ14" s="9">
        <v>9.7000000000000003E-2</v>
      </c>
      <c r="AR14" s="9">
        <v>7.8E-2</v>
      </c>
      <c r="AS14" s="9">
        <v>3.2000000000000001E-2</v>
      </c>
      <c r="AT14" s="9">
        <v>4.3999999999999997E-2</v>
      </c>
      <c r="AU14" s="9">
        <v>8</v>
      </c>
      <c r="AV14" s="9">
        <v>12</v>
      </c>
      <c r="AW14" s="9" t="b">
        <v>0</v>
      </c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</row>
    <row r="15" spans="1:109" ht="16" customHeight="1" x14ac:dyDescent="0.2">
      <c r="A15" s="8" t="s">
        <v>44</v>
      </c>
      <c r="B15" s="8">
        <v>0.49259999999999998</v>
      </c>
      <c r="C15" s="9" t="s">
        <v>199</v>
      </c>
      <c r="D15" s="9" t="s">
        <v>173</v>
      </c>
      <c r="E15" s="9" t="s">
        <v>174</v>
      </c>
      <c r="F15" s="9" t="s">
        <v>175</v>
      </c>
      <c r="G15" s="9" t="s">
        <v>176</v>
      </c>
      <c r="H15" s="9">
        <v>0.5</v>
      </c>
      <c r="I15" s="9">
        <v>25</v>
      </c>
      <c r="J15" s="9" t="s">
        <v>177</v>
      </c>
      <c r="K15" s="9" t="s">
        <v>178</v>
      </c>
      <c r="L15" s="9" t="s">
        <v>179</v>
      </c>
      <c r="M15" s="9" t="s">
        <v>180</v>
      </c>
      <c r="N15" s="9">
        <v>5347</v>
      </c>
      <c r="O15" s="9">
        <v>0.88289322617680799</v>
      </c>
      <c r="P15" s="9">
        <v>0.19053518334985101</v>
      </c>
      <c r="Q15" s="20">
        <v>0.313429794171592</v>
      </c>
      <c r="R15" s="9">
        <v>41.58</v>
      </c>
      <c r="S15" s="9">
        <v>16384</v>
      </c>
      <c r="T15" s="9">
        <v>16384</v>
      </c>
      <c r="U15" s="9">
        <v>2786326</v>
      </c>
      <c r="V15" s="9">
        <v>187818</v>
      </c>
      <c r="W15" s="9">
        <v>2974144</v>
      </c>
      <c r="X15" s="9">
        <v>520</v>
      </c>
      <c r="Y15" s="9">
        <v>2786326</v>
      </c>
      <c r="Z15" s="9">
        <v>187818</v>
      </c>
      <c r="AA15" s="9">
        <v>2974144</v>
      </c>
      <c r="AB15" s="9">
        <v>65280</v>
      </c>
      <c r="AC15" s="9">
        <v>65280</v>
      </c>
      <c r="AD15" s="9">
        <v>0</v>
      </c>
      <c r="AE15" s="9">
        <v>0</v>
      </c>
      <c r="AF15" s="9">
        <v>0.13500000000000001</v>
      </c>
      <c r="AG15" s="9">
        <v>41.09</v>
      </c>
      <c r="AH15" s="9">
        <v>9.2999999999999999E-2</v>
      </c>
      <c r="AI15" s="9">
        <v>0.26</v>
      </c>
      <c r="AJ15" s="9">
        <v>0.107</v>
      </c>
      <c r="AK15" s="9">
        <v>1.0999999999999999E-2</v>
      </c>
      <c r="AL15" s="9">
        <v>0.25800000000000001</v>
      </c>
      <c r="AM15" s="9">
        <v>8.9999999999999993E-3</v>
      </c>
      <c r="AN15" s="9">
        <v>0.65900000000000003</v>
      </c>
      <c r="AO15" s="9">
        <v>39.898000000000003</v>
      </c>
      <c r="AP15" s="9">
        <v>3.4000000000000002E-2</v>
      </c>
      <c r="AQ15" s="9">
        <v>9.8000000000000004E-2</v>
      </c>
      <c r="AR15" s="9">
        <v>8.1000000000000003E-2</v>
      </c>
      <c r="AS15" s="9">
        <v>3.4000000000000002E-2</v>
      </c>
      <c r="AT15" s="9">
        <v>4.5999999999999999E-2</v>
      </c>
      <c r="AU15" s="9">
        <v>8</v>
      </c>
      <c r="AV15" s="9">
        <v>12</v>
      </c>
      <c r="AW15" s="9" t="b">
        <v>0</v>
      </c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</row>
    <row r="16" spans="1:109" ht="16" customHeight="1" x14ac:dyDescent="0.2">
      <c r="A16" s="8" t="s">
        <v>44</v>
      </c>
      <c r="B16" s="8">
        <v>0.49259999999999998</v>
      </c>
      <c r="C16" s="9" t="s">
        <v>200</v>
      </c>
      <c r="D16" s="9" t="s">
        <v>186</v>
      </c>
      <c r="E16" s="9" t="s">
        <v>186</v>
      </c>
      <c r="F16" s="9" t="s">
        <v>187</v>
      </c>
      <c r="G16" s="9" t="s">
        <v>176</v>
      </c>
      <c r="H16" s="9">
        <v>0.5</v>
      </c>
      <c r="I16" s="9">
        <v>100</v>
      </c>
      <c r="J16" s="9" t="s">
        <v>188</v>
      </c>
      <c r="K16" s="9" t="s">
        <v>188</v>
      </c>
      <c r="L16" s="9" t="s">
        <v>179</v>
      </c>
      <c r="M16" s="9" t="s">
        <v>180</v>
      </c>
      <c r="N16" s="9">
        <v>12830</v>
      </c>
      <c r="O16" s="9">
        <v>0.70466531440162306</v>
      </c>
      <c r="P16" s="9">
        <v>0.43037661050545101</v>
      </c>
      <c r="Q16" s="9">
        <v>0.53437932625749895</v>
      </c>
      <c r="R16" s="9">
        <v>151.77000000000001</v>
      </c>
      <c r="S16" s="9">
        <v>16384</v>
      </c>
      <c r="T16" s="9">
        <v>65536</v>
      </c>
      <c r="U16" s="9">
        <v>15062016</v>
      </c>
      <c r="V16" s="9">
        <v>131072</v>
      </c>
      <c r="W16" s="9">
        <v>15193088</v>
      </c>
      <c r="X16" s="9">
        <v>0</v>
      </c>
      <c r="Y16" s="9">
        <v>0</v>
      </c>
      <c r="Z16" s="9">
        <v>0</v>
      </c>
      <c r="AA16" s="9">
        <v>0</v>
      </c>
      <c r="AB16" s="9">
        <v>65280</v>
      </c>
      <c r="AC16" s="9">
        <v>65280</v>
      </c>
      <c r="AD16" s="9">
        <v>0</v>
      </c>
      <c r="AE16" s="9">
        <v>0</v>
      </c>
      <c r="AF16" s="9">
        <v>0.13500000000000001</v>
      </c>
      <c r="AG16" s="9">
        <v>151.279</v>
      </c>
      <c r="AH16" s="9">
        <v>9.2999999999999999E-2</v>
      </c>
      <c r="AI16" s="9">
        <v>0.26</v>
      </c>
      <c r="AJ16" s="9">
        <v>0.107</v>
      </c>
      <c r="AK16" s="9">
        <v>1.0999999999999999E-2</v>
      </c>
      <c r="AL16" s="9">
        <v>0.25800000000000001</v>
      </c>
      <c r="AM16" s="9">
        <v>8.9999999999999993E-3</v>
      </c>
      <c r="AN16" s="9">
        <v>0.65900000000000003</v>
      </c>
      <c r="AO16" s="9">
        <v>39.898000000000003</v>
      </c>
      <c r="AP16" s="9">
        <v>3.4000000000000002E-2</v>
      </c>
      <c r="AQ16" s="9">
        <v>9.8000000000000004E-2</v>
      </c>
      <c r="AR16" s="9">
        <v>8.1000000000000003E-2</v>
      </c>
      <c r="AS16" s="9">
        <v>3.4000000000000002E-2</v>
      </c>
      <c r="AT16" s="9">
        <v>4.5999999999999999E-2</v>
      </c>
      <c r="AU16" s="9">
        <v>8</v>
      </c>
      <c r="AV16" s="9">
        <v>12</v>
      </c>
      <c r="AW16" s="9" t="b">
        <v>0</v>
      </c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</row>
    <row r="17" spans="1:110" ht="16" customHeight="1" x14ac:dyDescent="0.2">
      <c r="A17" s="8" t="s">
        <v>201</v>
      </c>
      <c r="B17" s="8">
        <v>7.5999999999999998E-2</v>
      </c>
      <c r="C17" s="9" t="s">
        <v>202</v>
      </c>
      <c r="D17" s="9" t="s">
        <v>173</v>
      </c>
      <c r="E17" s="9" t="s">
        <v>174</v>
      </c>
      <c r="F17" s="9" t="s">
        <v>175</v>
      </c>
      <c r="G17" s="9" t="s">
        <v>176</v>
      </c>
      <c r="H17" s="9">
        <v>0.5</v>
      </c>
      <c r="I17" s="9">
        <v>5</v>
      </c>
      <c r="J17" s="9" t="s">
        <v>177</v>
      </c>
      <c r="K17" s="9" t="s">
        <v>178</v>
      </c>
      <c r="L17" s="9" t="s">
        <v>179</v>
      </c>
      <c r="M17" s="9" t="s">
        <v>180</v>
      </c>
      <c r="N17" s="9">
        <v>31246</v>
      </c>
      <c r="O17" s="9">
        <v>0.23063725490196099</v>
      </c>
      <c r="P17" s="9">
        <v>0.52161862527716196</v>
      </c>
      <c r="Q17" s="20">
        <v>0.31985044187627498</v>
      </c>
      <c r="R17" s="9">
        <v>12.8</v>
      </c>
      <c r="S17" s="9">
        <v>3276</v>
      </c>
      <c r="T17" s="9">
        <v>3276</v>
      </c>
      <c r="U17" s="9">
        <v>513025</v>
      </c>
      <c r="V17" s="9">
        <v>23226</v>
      </c>
      <c r="W17" s="9">
        <v>536251</v>
      </c>
      <c r="X17" s="9">
        <v>110</v>
      </c>
      <c r="Y17" s="9">
        <v>513025</v>
      </c>
      <c r="Z17" s="9">
        <v>23226</v>
      </c>
      <c r="AA17" s="9">
        <v>536251</v>
      </c>
      <c r="AB17" s="9">
        <v>65280</v>
      </c>
      <c r="AC17" s="9">
        <v>65280</v>
      </c>
      <c r="AD17" s="9">
        <v>0</v>
      </c>
      <c r="AE17" s="9">
        <v>0</v>
      </c>
      <c r="AF17" s="9">
        <v>0.13900000000000001</v>
      </c>
      <c r="AG17" s="9">
        <v>12.147</v>
      </c>
      <c r="AH17" s="9">
        <v>1.9E-2</v>
      </c>
      <c r="AI17" s="9">
        <v>0.49299999999999999</v>
      </c>
      <c r="AJ17" s="9">
        <v>9.8000000000000004E-2</v>
      </c>
      <c r="AK17" s="9">
        <v>1.0999999999999999E-2</v>
      </c>
      <c r="AL17" s="9">
        <v>0.22700000000000001</v>
      </c>
      <c r="AM17" s="9">
        <v>5.8000000000000003E-2</v>
      </c>
      <c r="AN17" s="9">
        <v>0.502</v>
      </c>
      <c r="AO17" s="9">
        <v>10.927</v>
      </c>
      <c r="AP17" s="9">
        <v>0.124</v>
      </c>
      <c r="AQ17" s="9">
        <v>9.9000000000000005E-2</v>
      </c>
      <c r="AR17" s="9">
        <v>7.5999999999999998E-2</v>
      </c>
      <c r="AS17" s="9">
        <v>0.17399999999999999</v>
      </c>
      <c r="AT17" s="9">
        <v>0.14299999999999999</v>
      </c>
      <c r="AU17" s="9">
        <v>44</v>
      </c>
      <c r="AV17" s="9">
        <v>42</v>
      </c>
      <c r="AW17" s="9" t="b">
        <v>0</v>
      </c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</row>
    <row r="18" spans="1:110" ht="16" customHeight="1" x14ac:dyDescent="0.2">
      <c r="A18" s="8" t="s">
        <v>201</v>
      </c>
      <c r="B18" s="8">
        <v>7.5999999999999998E-2</v>
      </c>
      <c r="C18" s="9" t="s">
        <v>203</v>
      </c>
      <c r="D18" s="9" t="s">
        <v>173</v>
      </c>
      <c r="E18" s="9" t="s">
        <v>174</v>
      </c>
      <c r="F18" s="9" t="s">
        <v>175</v>
      </c>
      <c r="G18" s="9" t="s">
        <v>176</v>
      </c>
      <c r="H18" s="9">
        <v>0.5</v>
      </c>
      <c r="I18" s="9">
        <v>10</v>
      </c>
      <c r="J18" s="9" t="s">
        <v>177</v>
      </c>
      <c r="K18" s="9" t="s">
        <v>178</v>
      </c>
      <c r="L18" s="9" t="s">
        <v>179</v>
      </c>
      <c r="M18" s="9" t="s">
        <v>180</v>
      </c>
      <c r="N18" s="9">
        <v>32665</v>
      </c>
      <c r="O18" s="9">
        <v>0.23269717176362401</v>
      </c>
      <c r="P18" s="9">
        <v>0.56097560975609795</v>
      </c>
      <c r="Q18" s="20">
        <v>0.32894522996912101</v>
      </c>
      <c r="R18" s="9">
        <v>18.66</v>
      </c>
      <c r="S18" s="9">
        <v>6553</v>
      </c>
      <c r="T18" s="9">
        <v>6553</v>
      </c>
      <c r="U18" s="9">
        <v>1064234</v>
      </c>
      <c r="V18" s="9">
        <v>48302</v>
      </c>
      <c r="W18" s="9">
        <v>1112536</v>
      </c>
      <c r="X18" s="9">
        <v>210</v>
      </c>
      <c r="Y18" s="9">
        <v>1064234</v>
      </c>
      <c r="Z18" s="9">
        <v>48302</v>
      </c>
      <c r="AA18" s="9">
        <v>1112536</v>
      </c>
      <c r="AB18" s="9">
        <v>65280</v>
      </c>
      <c r="AC18" s="9">
        <v>65280</v>
      </c>
      <c r="AD18" s="9">
        <v>0</v>
      </c>
      <c r="AE18" s="9">
        <v>0</v>
      </c>
      <c r="AF18" s="9">
        <v>0.13600000000000001</v>
      </c>
      <c r="AG18" s="9">
        <v>17.992999999999999</v>
      </c>
      <c r="AH18" s="9">
        <v>3.5000000000000003E-2</v>
      </c>
      <c r="AI18" s="9">
        <v>0.49299999999999999</v>
      </c>
      <c r="AJ18" s="9">
        <v>9.7000000000000003E-2</v>
      </c>
      <c r="AK18" s="9">
        <v>1.0999999999999999E-2</v>
      </c>
      <c r="AL18" s="9">
        <v>0.223</v>
      </c>
      <c r="AM18" s="9">
        <v>8.9999999999999993E-3</v>
      </c>
      <c r="AN18" s="9">
        <v>0.54400000000000004</v>
      </c>
      <c r="AO18" s="9">
        <v>16.762</v>
      </c>
      <c r="AP18" s="9">
        <v>0.11799999999999999</v>
      </c>
      <c r="AQ18" s="9">
        <v>0.106</v>
      </c>
      <c r="AR18" s="9">
        <v>0.09</v>
      </c>
      <c r="AS18" s="9">
        <v>0.159</v>
      </c>
      <c r="AT18" s="9">
        <v>0.13800000000000001</v>
      </c>
      <c r="AU18" s="9">
        <v>39</v>
      </c>
      <c r="AV18" s="9">
        <v>41</v>
      </c>
      <c r="AW18" s="9" t="b">
        <v>0</v>
      </c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</row>
    <row r="19" spans="1:110" ht="16" customHeight="1" x14ac:dyDescent="0.2">
      <c r="A19" s="8" t="s">
        <v>201</v>
      </c>
      <c r="B19" s="8">
        <v>7.5999999999999998E-2</v>
      </c>
      <c r="C19" s="9" t="s">
        <v>204</v>
      </c>
      <c r="D19" s="9" t="s">
        <v>173</v>
      </c>
      <c r="E19" s="9" t="s">
        <v>174</v>
      </c>
      <c r="F19" s="9" t="s">
        <v>175</v>
      </c>
      <c r="G19" s="9" t="s">
        <v>176</v>
      </c>
      <c r="H19" s="9">
        <v>0.5</v>
      </c>
      <c r="I19" s="9">
        <v>15</v>
      </c>
      <c r="J19" s="9" t="s">
        <v>177</v>
      </c>
      <c r="K19" s="9" t="s">
        <v>178</v>
      </c>
      <c r="L19" s="9" t="s">
        <v>179</v>
      </c>
      <c r="M19" s="9" t="s">
        <v>180</v>
      </c>
      <c r="N19" s="9">
        <v>34836</v>
      </c>
      <c r="O19" s="9">
        <v>0.235727828101959</v>
      </c>
      <c r="P19" s="9">
        <v>0.620288248337029</v>
      </c>
      <c r="Q19" s="20">
        <v>0.34162723248359</v>
      </c>
      <c r="R19" s="9">
        <v>24.11</v>
      </c>
      <c r="S19" s="9">
        <v>9830</v>
      </c>
      <c r="T19" s="9">
        <v>9830</v>
      </c>
      <c r="U19" s="9">
        <v>1672214</v>
      </c>
      <c r="V19" s="9">
        <v>70760</v>
      </c>
      <c r="W19" s="9">
        <v>1742974</v>
      </c>
      <c r="X19" s="9">
        <v>310</v>
      </c>
      <c r="Y19" s="9">
        <v>1672214</v>
      </c>
      <c r="Z19" s="9">
        <v>70760</v>
      </c>
      <c r="AA19" s="9">
        <v>1742974</v>
      </c>
      <c r="AB19" s="9">
        <v>65280</v>
      </c>
      <c r="AC19" s="9">
        <v>65280</v>
      </c>
      <c r="AD19" s="9">
        <v>0</v>
      </c>
      <c r="AE19" s="9">
        <v>0</v>
      </c>
      <c r="AF19" s="9">
        <v>0.13600000000000001</v>
      </c>
      <c r="AG19" s="9">
        <v>23.481999999999999</v>
      </c>
      <c r="AH19" s="9">
        <v>4.5999999999999999E-2</v>
      </c>
      <c r="AI19" s="9">
        <v>0.443</v>
      </c>
      <c r="AJ19" s="9">
        <v>9.6000000000000002E-2</v>
      </c>
      <c r="AK19" s="9">
        <v>1.0999999999999999E-2</v>
      </c>
      <c r="AL19" s="9">
        <v>0.222</v>
      </c>
      <c r="AM19" s="9">
        <v>0.02</v>
      </c>
      <c r="AN19" s="9">
        <v>0.57899999999999996</v>
      </c>
      <c r="AO19" s="9">
        <v>22.245000000000001</v>
      </c>
      <c r="AP19" s="9">
        <v>0.122</v>
      </c>
      <c r="AQ19" s="9">
        <v>0.10199999999999999</v>
      </c>
      <c r="AR19" s="9">
        <v>7.4999999999999997E-2</v>
      </c>
      <c r="AS19" s="9">
        <v>0.14299999999999999</v>
      </c>
      <c r="AT19" s="9">
        <v>0.122</v>
      </c>
      <c r="AU19" s="9">
        <v>39</v>
      </c>
      <c r="AV19" s="9">
        <v>36</v>
      </c>
      <c r="AW19" s="9" t="b">
        <v>0</v>
      </c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</row>
    <row r="20" spans="1:110" ht="16" customHeight="1" x14ac:dyDescent="0.2">
      <c r="A20" s="8" t="s">
        <v>201</v>
      </c>
      <c r="B20" s="8">
        <v>7.5999999999999998E-2</v>
      </c>
      <c r="C20" s="9" t="s">
        <v>205</v>
      </c>
      <c r="D20" s="9" t="s">
        <v>173</v>
      </c>
      <c r="E20" s="9" t="s">
        <v>174</v>
      </c>
      <c r="F20" s="9" t="s">
        <v>175</v>
      </c>
      <c r="G20" s="9" t="s">
        <v>176</v>
      </c>
      <c r="H20" s="9">
        <v>0.5</v>
      </c>
      <c r="I20" s="9">
        <v>20</v>
      </c>
      <c r="J20" s="9" t="s">
        <v>177</v>
      </c>
      <c r="K20" s="9" t="s">
        <v>178</v>
      </c>
      <c r="L20" s="9" t="s">
        <v>179</v>
      </c>
      <c r="M20" s="9" t="s">
        <v>180</v>
      </c>
      <c r="N20" s="9">
        <v>37189</v>
      </c>
      <c r="O20" s="9">
        <v>0.235602094240838</v>
      </c>
      <c r="P20" s="9">
        <v>0.67350332594234996</v>
      </c>
      <c r="Q20" s="20">
        <v>0.34908777474500802</v>
      </c>
      <c r="R20" s="9">
        <v>28.87</v>
      </c>
      <c r="S20" s="9">
        <v>13107</v>
      </c>
      <c r="T20" s="9">
        <v>13107</v>
      </c>
      <c r="U20" s="9">
        <v>2252986</v>
      </c>
      <c r="V20" s="9">
        <v>94086</v>
      </c>
      <c r="W20" s="9">
        <v>2347072</v>
      </c>
      <c r="X20" s="9">
        <v>410</v>
      </c>
      <c r="Y20" s="9">
        <v>2252986</v>
      </c>
      <c r="Z20" s="9">
        <v>94086</v>
      </c>
      <c r="AA20" s="9">
        <v>2347072</v>
      </c>
      <c r="AB20" s="9">
        <v>65280</v>
      </c>
      <c r="AC20" s="9">
        <v>65280</v>
      </c>
      <c r="AD20" s="9">
        <v>0</v>
      </c>
      <c r="AE20" s="9">
        <v>0</v>
      </c>
      <c r="AF20" s="9">
        <v>0.13600000000000001</v>
      </c>
      <c r="AG20" s="9">
        <v>28.167000000000002</v>
      </c>
      <c r="AH20" s="9">
        <v>0.112</v>
      </c>
      <c r="AI20" s="9">
        <v>0.45800000000000002</v>
      </c>
      <c r="AJ20" s="9">
        <v>8.3000000000000004E-2</v>
      </c>
      <c r="AK20" s="9">
        <v>1.0999999999999999E-2</v>
      </c>
      <c r="AL20" s="9">
        <v>0.23599999999999999</v>
      </c>
      <c r="AM20" s="9">
        <v>1.9E-2</v>
      </c>
      <c r="AN20" s="9">
        <v>0.63300000000000001</v>
      </c>
      <c r="AO20" s="9">
        <v>26.890999999999998</v>
      </c>
      <c r="AP20" s="9">
        <v>0.13</v>
      </c>
      <c r="AQ20" s="9">
        <v>0.107</v>
      </c>
      <c r="AR20" s="9">
        <v>0.09</v>
      </c>
      <c r="AS20" s="9">
        <v>0.14199999999999999</v>
      </c>
      <c r="AT20" s="9">
        <v>0.11899999999999999</v>
      </c>
      <c r="AU20" s="9">
        <v>34</v>
      </c>
      <c r="AV20" s="9">
        <v>35</v>
      </c>
      <c r="AW20" s="9" t="b">
        <v>0</v>
      </c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</row>
    <row r="21" spans="1:110" ht="16" customHeight="1" x14ac:dyDescent="0.2">
      <c r="A21" s="8" t="s">
        <v>201</v>
      </c>
      <c r="B21" s="8">
        <v>7.5999999999999998E-2</v>
      </c>
      <c r="C21" s="9" t="s">
        <v>206</v>
      </c>
      <c r="D21" s="9" t="s">
        <v>173</v>
      </c>
      <c r="E21" s="9" t="s">
        <v>174</v>
      </c>
      <c r="F21" s="9" t="s">
        <v>175</v>
      </c>
      <c r="G21" s="9" t="s">
        <v>176</v>
      </c>
      <c r="H21" s="9">
        <v>0.5</v>
      </c>
      <c r="I21" s="9">
        <v>25</v>
      </c>
      <c r="J21" s="9" t="s">
        <v>177</v>
      </c>
      <c r="K21" s="9" t="s">
        <v>178</v>
      </c>
      <c r="L21" s="9" t="s">
        <v>179</v>
      </c>
      <c r="M21" s="9" t="s">
        <v>180</v>
      </c>
      <c r="N21" s="9">
        <v>37101</v>
      </c>
      <c r="O21" s="9">
        <v>0.23807714231426899</v>
      </c>
      <c r="P21" s="9">
        <v>0.694567627494457</v>
      </c>
      <c r="Q21" s="20">
        <v>0.35460591481533899</v>
      </c>
      <c r="R21" s="9">
        <v>35.869999999999997</v>
      </c>
      <c r="S21" s="9">
        <v>16384</v>
      </c>
      <c r="T21" s="9">
        <v>16384</v>
      </c>
      <c r="U21" s="9">
        <v>2789430</v>
      </c>
      <c r="V21" s="9">
        <v>123446</v>
      </c>
      <c r="W21" s="9">
        <v>2912876</v>
      </c>
      <c r="X21" s="9">
        <v>520</v>
      </c>
      <c r="Y21" s="9">
        <v>2789430</v>
      </c>
      <c r="Z21" s="9">
        <v>123446</v>
      </c>
      <c r="AA21" s="9">
        <v>2912876</v>
      </c>
      <c r="AB21" s="9">
        <v>65280</v>
      </c>
      <c r="AC21" s="9">
        <v>65280</v>
      </c>
      <c r="AD21" s="9">
        <v>0</v>
      </c>
      <c r="AE21" s="9">
        <v>0</v>
      </c>
      <c r="AF21" s="9">
        <v>0.13800000000000001</v>
      </c>
      <c r="AG21" s="9">
        <v>35.188000000000002</v>
      </c>
      <c r="AH21" s="9">
        <v>8.8999999999999996E-2</v>
      </c>
      <c r="AI21" s="9">
        <v>0.45300000000000001</v>
      </c>
      <c r="AJ21" s="9">
        <v>9.2999999999999999E-2</v>
      </c>
      <c r="AK21" s="9">
        <v>1.0999999999999999E-2</v>
      </c>
      <c r="AL21" s="9">
        <v>0.23499999999999999</v>
      </c>
      <c r="AM21" s="9">
        <v>8.9999999999999993E-3</v>
      </c>
      <c r="AN21" s="9">
        <v>0.68100000000000005</v>
      </c>
      <c r="AO21" s="9">
        <v>33.856999999999999</v>
      </c>
      <c r="AP21" s="9">
        <v>0.13100000000000001</v>
      </c>
      <c r="AQ21" s="9">
        <v>0.107</v>
      </c>
      <c r="AR21" s="9">
        <v>9.1999999999999998E-2</v>
      </c>
      <c r="AS21" s="9">
        <v>0.13900000000000001</v>
      </c>
      <c r="AT21" s="9">
        <v>0.115</v>
      </c>
      <c r="AU21" s="9">
        <v>32</v>
      </c>
      <c r="AV21" s="9">
        <v>32</v>
      </c>
      <c r="AW21" s="9" t="b">
        <v>0</v>
      </c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</row>
    <row r="22" spans="1:110" ht="16" customHeight="1" x14ac:dyDescent="0.2">
      <c r="A22" s="8" t="s">
        <v>201</v>
      </c>
      <c r="B22" s="8">
        <v>7.5999999999999998E-2</v>
      </c>
      <c r="C22" s="9" t="s">
        <v>207</v>
      </c>
      <c r="D22" s="9" t="s">
        <v>186</v>
      </c>
      <c r="E22" s="9" t="s">
        <v>186</v>
      </c>
      <c r="F22" s="9" t="s">
        <v>187</v>
      </c>
      <c r="G22" s="9" t="s">
        <v>176</v>
      </c>
      <c r="H22" s="9">
        <v>0.5</v>
      </c>
      <c r="I22" s="9">
        <v>100</v>
      </c>
      <c r="J22" s="9" t="s">
        <v>188</v>
      </c>
      <c r="K22" s="9" t="s">
        <v>188</v>
      </c>
      <c r="L22" s="9" t="s">
        <v>179</v>
      </c>
      <c r="M22" s="9" t="s">
        <v>180</v>
      </c>
      <c r="N22" s="9">
        <v>33049</v>
      </c>
      <c r="O22" s="9">
        <v>0.25044669446098899</v>
      </c>
      <c r="P22" s="9">
        <v>0.93237250554323703</v>
      </c>
      <c r="Q22" s="9">
        <v>0.39483568075117398</v>
      </c>
      <c r="R22" s="9">
        <v>151.27000000000001</v>
      </c>
      <c r="S22" s="9">
        <v>16384</v>
      </c>
      <c r="T22" s="9">
        <v>65536</v>
      </c>
      <c r="U22" s="9">
        <v>14996480</v>
      </c>
      <c r="V22" s="9">
        <v>131072</v>
      </c>
      <c r="W22" s="9">
        <v>15127552</v>
      </c>
      <c r="X22" s="9">
        <v>0</v>
      </c>
      <c r="Y22" s="9">
        <v>0</v>
      </c>
      <c r="Z22" s="9">
        <v>0</v>
      </c>
      <c r="AA22" s="9">
        <v>0</v>
      </c>
      <c r="AB22" s="9">
        <v>65280</v>
      </c>
      <c r="AC22" s="9">
        <v>65280</v>
      </c>
      <c r="AD22" s="9">
        <v>0</v>
      </c>
      <c r="AE22" s="9">
        <v>0</v>
      </c>
      <c r="AF22" s="9">
        <v>0.13800000000000001</v>
      </c>
      <c r="AG22" s="9">
        <v>150.58600000000001</v>
      </c>
      <c r="AH22" s="9">
        <v>8.8999999999999996E-2</v>
      </c>
      <c r="AI22" s="9">
        <v>0.45300000000000001</v>
      </c>
      <c r="AJ22" s="9">
        <v>9.2999999999999999E-2</v>
      </c>
      <c r="AK22" s="9">
        <v>1.0999999999999999E-2</v>
      </c>
      <c r="AL22" s="9">
        <v>0.23499999999999999</v>
      </c>
      <c r="AM22" s="9">
        <v>8.9999999999999993E-3</v>
      </c>
      <c r="AN22" s="9">
        <v>0.68100000000000005</v>
      </c>
      <c r="AO22" s="9">
        <v>33.856999999999999</v>
      </c>
      <c r="AP22" s="9">
        <v>0.13100000000000001</v>
      </c>
      <c r="AQ22" s="9">
        <v>0.107</v>
      </c>
      <c r="AR22" s="9">
        <v>9.1999999999999998E-2</v>
      </c>
      <c r="AS22" s="9">
        <v>0.13900000000000001</v>
      </c>
      <c r="AT22" s="9">
        <v>0.115</v>
      </c>
      <c r="AU22" s="9">
        <v>32</v>
      </c>
      <c r="AV22" s="9">
        <v>32</v>
      </c>
      <c r="AW22" s="9" t="b">
        <v>0</v>
      </c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</row>
    <row r="23" spans="1:110" ht="16" customHeight="1" x14ac:dyDescent="0.2">
      <c r="A23" s="8"/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20"/>
      <c r="R23" s="9"/>
      <c r="S23" s="9"/>
      <c r="T23" s="9"/>
      <c r="U23" s="9">
        <v>2067394</v>
      </c>
      <c r="V23" s="9">
        <v>16016</v>
      </c>
      <c r="W23" s="9">
        <v>2083410</v>
      </c>
      <c r="X23" s="9">
        <v>250</v>
      </c>
      <c r="Y23" s="9">
        <v>2067394</v>
      </c>
      <c r="Z23" s="9">
        <v>16016</v>
      </c>
      <c r="AA23" s="9">
        <v>2083410</v>
      </c>
      <c r="AB23" s="9">
        <v>157269</v>
      </c>
      <c r="AC23" s="9">
        <v>157269</v>
      </c>
      <c r="AD23" s="9">
        <v>0</v>
      </c>
      <c r="AE23" s="9">
        <v>0</v>
      </c>
      <c r="AF23" s="9">
        <v>119.989</v>
      </c>
      <c r="AG23" s="9">
        <v>76.319000000000003</v>
      </c>
      <c r="AH23" s="9">
        <v>2.5999999999999999E-2</v>
      </c>
      <c r="AI23" s="9">
        <v>1.5249999999999999</v>
      </c>
      <c r="AJ23" s="9">
        <v>1.819</v>
      </c>
      <c r="AK23" s="9">
        <v>0.21299999999999999</v>
      </c>
      <c r="AL23" s="9">
        <v>0</v>
      </c>
      <c r="AM23" s="9">
        <v>0.11</v>
      </c>
      <c r="AN23" s="9">
        <v>1.1619999999999999</v>
      </c>
      <c r="AO23" s="9">
        <v>72.677000000000007</v>
      </c>
      <c r="AP23" s="9">
        <v>0.02</v>
      </c>
      <c r="AQ23" s="9">
        <v>0.23200000000000001</v>
      </c>
      <c r="AR23" s="9">
        <v>0.45200000000000001</v>
      </c>
      <c r="AS23" s="9">
        <v>0.45700000000000002</v>
      </c>
      <c r="AT23" s="9">
        <v>0.38400000000000001</v>
      </c>
      <c r="AU23" s="9">
        <v>28</v>
      </c>
      <c r="AV23" s="9">
        <v>26</v>
      </c>
      <c r="AW23" s="9" t="b">
        <v>0</v>
      </c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9">
        <v>5289</v>
      </c>
      <c r="DA23" s="9">
        <v>13.627717905086</v>
      </c>
      <c r="DB23" s="9">
        <v>13.7325072886297</v>
      </c>
      <c r="DC23" s="9">
        <v>0.10478938354367499</v>
      </c>
      <c r="DD23" s="9">
        <v>7.6307538995766203E-3</v>
      </c>
      <c r="DE23" s="9">
        <v>0.763075389957662</v>
      </c>
    </row>
    <row r="24" spans="1:110" ht="16" customHeight="1" x14ac:dyDescent="0.2">
      <c r="A24" s="8"/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20"/>
      <c r="R24" s="9"/>
      <c r="S24" s="9"/>
      <c r="T24" s="9"/>
      <c r="U24" s="9">
        <v>4150297</v>
      </c>
      <c r="V24" s="9">
        <v>31620</v>
      </c>
      <c r="W24" s="9">
        <v>4181917</v>
      </c>
      <c r="X24" s="9">
        <v>500</v>
      </c>
      <c r="Y24" s="9">
        <v>4150297</v>
      </c>
      <c r="Z24" s="9">
        <v>31620</v>
      </c>
      <c r="AA24" s="9">
        <v>4181917</v>
      </c>
      <c r="AB24" s="9">
        <v>157269</v>
      </c>
      <c r="AC24" s="9">
        <v>157269</v>
      </c>
      <c r="AD24" s="9">
        <v>0</v>
      </c>
      <c r="AE24" s="9">
        <v>0</v>
      </c>
      <c r="AF24" s="9">
        <v>117.17</v>
      </c>
      <c r="AG24" s="9">
        <v>146.458</v>
      </c>
      <c r="AH24" s="9">
        <v>6.8000000000000005E-2</v>
      </c>
      <c r="AI24" s="9">
        <v>1.5429999999999999</v>
      </c>
      <c r="AJ24" s="9">
        <v>1.5740000000000001</v>
      </c>
      <c r="AK24" s="9">
        <v>0.16600000000000001</v>
      </c>
      <c r="AL24" s="9">
        <v>0</v>
      </c>
      <c r="AM24" s="9">
        <v>5.7000000000000002E-2</v>
      </c>
      <c r="AN24" s="9">
        <v>1.31</v>
      </c>
      <c r="AO24" s="9">
        <v>143.12</v>
      </c>
      <c r="AP24" s="9">
        <v>2.3E-2</v>
      </c>
      <c r="AQ24" s="9">
        <v>0.23699999999999999</v>
      </c>
      <c r="AR24" s="9">
        <v>0.45600000000000002</v>
      </c>
      <c r="AS24" s="9">
        <v>0.435</v>
      </c>
      <c r="AT24" s="9">
        <v>0.41599999999999998</v>
      </c>
      <c r="AU24" s="9">
        <v>27</v>
      </c>
      <c r="AV24" s="9">
        <v>26</v>
      </c>
      <c r="AW24" s="9" t="b">
        <v>0</v>
      </c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9">
        <v>7780</v>
      </c>
      <c r="DA24" s="9">
        <v>13.521850899743001</v>
      </c>
      <c r="DB24" s="9">
        <v>13.7325072886297</v>
      </c>
      <c r="DC24" s="9">
        <v>0.210656388886719</v>
      </c>
      <c r="DD24" s="9">
        <v>1.5339980125926401E-2</v>
      </c>
      <c r="DE24" s="9">
        <v>1.53399801259264</v>
      </c>
    </row>
    <row r="25" spans="1:110" ht="16" customHeight="1" x14ac:dyDescent="0.2">
      <c r="A25" s="8"/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20"/>
      <c r="R25" s="9"/>
      <c r="S25" s="9"/>
      <c r="T25" s="9"/>
      <c r="U25" s="9">
        <v>6187462</v>
      </c>
      <c r="V25" s="9">
        <v>47678</v>
      </c>
      <c r="W25" s="9">
        <v>6235140</v>
      </c>
      <c r="X25" s="9">
        <v>740</v>
      </c>
      <c r="Y25" s="9">
        <v>6187462</v>
      </c>
      <c r="Z25" s="9">
        <v>47678</v>
      </c>
      <c r="AA25" s="9">
        <v>6235140</v>
      </c>
      <c r="AB25" s="9">
        <v>157269</v>
      </c>
      <c r="AC25" s="9">
        <v>157269</v>
      </c>
      <c r="AD25" s="9">
        <v>0</v>
      </c>
      <c r="AE25" s="9">
        <v>0</v>
      </c>
      <c r="AF25" s="9">
        <v>118.23399999999999</v>
      </c>
      <c r="AG25" s="9">
        <v>217.56700000000001</v>
      </c>
      <c r="AH25" s="9">
        <v>0.255</v>
      </c>
      <c r="AI25" s="9">
        <v>1.5549999999999999</v>
      </c>
      <c r="AJ25" s="9">
        <v>1.484</v>
      </c>
      <c r="AK25" s="9">
        <v>0.16800000000000001</v>
      </c>
      <c r="AL25" s="9">
        <v>0</v>
      </c>
      <c r="AM25" s="9">
        <v>6.9000000000000006E-2</v>
      </c>
      <c r="AN25" s="9">
        <v>1.4370000000000001</v>
      </c>
      <c r="AO25" s="9">
        <v>214.17500000000001</v>
      </c>
      <c r="AP25" s="9">
        <v>3.1E-2</v>
      </c>
      <c r="AQ25" s="9">
        <v>0.253</v>
      </c>
      <c r="AR25" s="9">
        <v>0.46700000000000003</v>
      </c>
      <c r="AS25" s="9">
        <v>0.44700000000000001</v>
      </c>
      <c r="AT25" s="9">
        <v>0.38700000000000001</v>
      </c>
      <c r="AU25" s="9">
        <v>27</v>
      </c>
      <c r="AV25" s="9">
        <v>26</v>
      </c>
      <c r="AW25" s="9" t="b">
        <v>0</v>
      </c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9">
        <v>10858</v>
      </c>
      <c r="DA25" s="9">
        <v>13.599465831644901</v>
      </c>
      <c r="DB25" s="9">
        <v>13.7325072886297</v>
      </c>
      <c r="DC25" s="9">
        <v>0.133041456984756</v>
      </c>
      <c r="DD25" s="9">
        <v>9.6880674583666709E-3</v>
      </c>
      <c r="DE25" s="9">
        <v>0.96880674583666704</v>
      </c>
    </row>
    <row r="26" spans="1:110" x14ac:dyDescent="0.2">
      <c r="A26" s="8" t="s">
        <v>0</v>
      </c>
      <c r="B26" s="8" t="s">
        <v>71</v>
      </c>
      <c r="C26" s="8" t="s">
        <v>72</v>
      </c>
      <c r="D26" s="8" t="s">
        <v>73</v>
      </c>
      <c r="E26" s="8" t="s">
        <v>74</v>
      </c>
      <c r="F26" s="8" t="s">
        <v>75</v>
      </c>
      <c r="G26" s="8" t="s">
        <v>76</v>
      </c>
      <c r="H26" s="8" t="s">
        <v>77</v>
      </c>
      <c r="I26" s="8" t="s">
        <v>78</v>
      </c>
      <c r="J26" s="8" t="s">
        <v>79</v>
      </c>
      <c r="K26" s="8" t="s">
        <v>80</v>
      </c>
      <c r="L26" s="8" t="s">
        <v>81</v>
      </c>
      <c r="M26" s="8" t="s">
        <v>82</v>
      </c>
      <c r="N26" s="8" t="s">
        <v>83</v>
      </c>
      <c r="O26" s="8" t="s">
        <v>84</v>
      </c>
      <c r="P26" s="8" t="s">
        <v>85</v>
      </c>
      <c r="Q26" s="8" t="s">
        <v>86</v>
      </c>
      <c r="R26" s="8" t="s">
        <v>87</v>
      </c>
      <c r="S26" s="8" t="s">
        <v>88</v>
      </c>
      <c r="T26" s="8" t="s">
        <v>89</v>
      </c>
      <c r="U26" s="8" t="s">
        <v>90</v>
      </c>
      <c r="V26" s="8" t="s">
        <v>91</v>
      </c>
      <c r="W26" s="8" t="s">
        <v>92</v>
      </c>
      <c r="X26" s="8" t="s">
        <v>93</v>
      </c>
      <c r="Y26" s="8" t="s">
        <v>94</v>
      </c>
      <c r="Z26" s="8" t="s">
        <v>95</v>
      </c>
      <c r="AA26" s="8" t="s">
        <v>96</v>
      </c>
      <c r="AB26" s="8" t="s">
        <v>97</v>
      </c>
      <c r="AC26" s="8" t="s">
        <v>98</v>
      </c>
      <c r="AD26" s="8" t="s">
        <v>99</v>
      </c>
      <c r="AE26" s="8" t="s">
        <v>100</v>
      </c>
      <c r="AF26" s="8" t="s">
        <v>101</v>
      </c>
      <c r="AG26" s="8" t="s">
        <v>102</v>
      </c>
      <c r="AH26" s="8" t="s">
        <v>103</v>
      </c>
      <c r="AI26" s="8" t="s">
        <v>104</v>
      </c>
      <c r="AJ26" s="8" t="s">
        <v>105</v>
      </c>
      <c r="AK26" s="8" t="s">
        <v>106</v>
      </c>
      <c r="AL26" s="8" t="s">
        <v>107</v>
      </c>
      <c r="AM26" s="8" t="s">
        <v>108</v>
      </c>
      <c r="AN26" s="8" t="s">
        <v>109</v>
      </c>
      <c r="AO26" s="8" t="s">
        <v>110</v>
      </c>
      <c r="AP26" s="8" t="s">
        <v>111</v>
      </c>
      <c r="AQ26" s="8" t="s">
        <v>112</v>
      </c>
      <c r="AR26" s="8" t="s">
        <v>113</v>
      </c>
      <c r="AS26" s="8" t="s">
        <v>114</v>
      </c>
      <c r="AT26" s="8" t="s">
        <v>115</v>
      </c>
      <c r="AU26" s="8" t="s">
        <v>116</v>
      </c>
      <c r="AV26" s="8" t="s">
        <v>117</v>
      </c>
      <c r="AW26" s="8" t="s">
        <v>118</v>
      </c>
      <c r="AX26" s="8" t="s">
        <v>119</v>
      </c>
      <c r="AY26" s="8" t="s">
        <v>120</v>
      </c>
      <c r="AZ26" s="8" t="s">
        <v>121</v>
      </c>
      <c r="BA26" s="8" t="s">
        <v>122</v>
      </c>
      <c r="BB26" s="8" t="s">
        <v>123</v>
      </c>
      <c r="BC26" s="8" t="s">
        <v>124</v>
      </c>
      <c r="BD26" s="8" t="s">
        <v>125</v>
      </c>
      <c r="BE26" s="8" t="s">
        <v>126</v>
      </c>
      <c r="BF26" s="8" t="s">
        <v>127</v>
      </c>
      <c r="BG26" s="8" t="s">
        <v>128</v>
      </c>
      <c r="BH26" s="8" t="s">
        <v>129</v>
      </c>
      <c r="BI26" s="8" t="s">
        <v>130</v>
      </c>
      <c r="BJ26" s="8" t="s">
        <v>131</v>
      </c>
      <c r="BK26" s="8" t="s">
        <v>132</v>
      </c>
      <c r="BL26" s="8" t="s">
        <v>133</v>
      </c>
      <c r="BM26" s="8" t="s">
        <v>134</v>
      </c>
      <c r="BN26" s="8" t="s">
        <v>135</v>
      </c>
      <c r="BO26" s="8" t="s">
        <v>136</v>
      </c>
      <c r="BP26" s="8" t="s">
        <v>137</v>
      </c>
      <c r="BQ26" s="8" t="s">
        <v>138</v>
      </c>
      <c r="BR26" s="8" t="s">
        <v>139</v>
      </c>
      <c r="BS26" s="8" t="s">
        <v>140</v>
      </c>
      <c r="BT26" s="8" t="s">
        <v>141</v>
      </c>
      <c r="BU26" s="8" t="s">
        <v>142</v>
      </c>
      <c r="BV26" s="8" t="s">
        <v>143</v>
      </c>
      <c r="BW26" s="8" t="s">
        <v>144</v>
      </c>
      <c r="BX26" s="8" t="s">
        <v>145</v>
      </c>
      <c r="BY26" s="8" t="s">
        <v>146</v>
      </c>
      <c r="BZ26" s="8" t="s">
        <v>147</v>
      </c>
      <c r="CA26" s="8" t="s">
        <v>148</v>
      </c>
      <c r="CB26" s="8" t="s">
        <v>149</v>
      </c>
      <c r="CC26" s="8" t="s">
        <v>150</v>
      </c>
      <c r="CD26" s="8" t="s">
        <v>151</v>
      </c>
      <c r="CE26" s="8" t="s">
        <v>152</v>
      </c>
      <c r="CF26" s="8" t="s">
        <v>153</v>
      </c>
      <c r="CG26" s="8" t="s">
        <v>154</v>
      </c>
      <c r="CH26" s="8" t="s">
        <v>155</v>
      </c>
      <c r="CI26" s="8" t="s">
        <v>156</v>
      </c>
      <c r="CJ26" s="8" t="s">
        <v>157</v>
      </c>
      <c r="CK26" s="8" t="s">
        <v>158</v>
      </c>
      <c r="CL26" s="8" t="s">
        <v>159</v>
      </c>
      <c r="CM26" s="8" t="s">
        <v>160</v>
      </c>
      <c r="CN26" s="8" t="s">
        <v>161</v>
      </c>
      <c r="CO26" s="8" t="s">
        <v>162</v>
      </c>
      <c r="CP26" s="8" t="s">
        <v>163</v>
      </c>
      <c r="CQ26" s="8" t="s">
        <v>164</v>
      </c>
      <c r="CR26" s="8" t="s">
        <v>165</v>
      </c>
      <c r="CS26" s="8" t="s">
        <v>166</v>
      </c>
      <c r="CT26" s="8" t="s">
        <v>167</v>
      </c>
      <c r="CU26" s="8" t="s">
        <v>168</v>
      </c>
      <c r="CV26" s="8" t="s">
        <v>169</v>
      </c>
      <c r="CW26" s="8" t="s">
        <v>170</v>
      </c>
      <c r="CX26" s="8" t="s">
        <v>171</v>
      </c>
      <c r="CY26" s="8" t="s">
        <v>189</v>
      </c>
      <c r="CZ26" s="8" t="s">
        <v>208</v>
      </c>
      <c r="DA26" s="8" t="s">
        <v>209</v>
      </c>
      <c r="DB26" s="8" t="s">
        <v>210</v>
      </c>
      <c r="DC26" s="8" t="s">
        <v>211</v>
      </c>
      <c r="DD26" s="8" t="s">
        <v>212</v>
      </c>
      <c r="DE26" s="8" t="s">
        <v>213</v>
      </c>
      <c r="DF26" s="8" t="s">
        <v>214</v>
      </c>
    </row>
    <row r="27" spans="1:110" ht="16" customHeight="1" x14ac:dyDescent="0.2">
      <c r="A27" s="8" t="s">
        <v>41</v>
      </c>
      <c r="B27" s="9" t="s">
        <v>215</v>
      </c>
      <c r="C27" s="9" t="s">
        <v>173</v>
      </c>
      <c r="D27" s="9" t="s">
        <v>174</v>
      </c>
      <c r="E27" s="9" t="s">
        <v>175</v>
      </c>
      <c r="F27" s="9" t="s">
        <v>176</v>
      </c>
      <c r="G27" s="9">
        <v>0.5</v>
      </c>
      <c r="H27" s="9">
        <v>1</v>
      </c>
      <c r="I27" s="9" t="s">
        <v>177</v>
      </c>
      <c r="J27" s="9" t="s">
        <v>178</v>
      </c>
      <c r="K27" s="9" t="s">
        <v>179</v>
      </c>
      <c r="L27" s="9" t="s">
        <v>180</v>
      </c>
      <c r="M27" s="9">
        <v>656</v>
      </c>
      <c r="N27" s="9">
        <v>0.16310975609756101</v>
      </c>
      <c r="O27" s="9">
        <v>7.7988338192419807E-2</v>
      </c>
      <c r="P27" s="9"/>
      <c r="Q27" s="9">
        <v>14.26</v>
      </c>
      <c r="R27" s="9">
        <v>98</v>
      </c>
      <c r="S27" s="9">
        <v>98</v>
      </c>
      <c r="T27" s="9">
        <v>26996</v>
      </c>
      <c r="U27" s="9">
        <v>196</v>
      </c>
      <c r="V27" s="9">
        <v>27192</v>
      </c>
      <c r="W27" s="9">
        <v>10</v>
      </c>
      <c r="X27" s="9">
        <v>26996</v>
      </c>
      <c r="Y27" s="9">
        <v>196</v>
      </c>
      <c r="Z27" s="9">
        <v>27192</v>
      </c>
      <c r="AA27" s="9">
        <v>9828</v>
      </c>
      <c r="AB27" s="9">
        <v>9828</v>
      </c>
      <c r="AC27" s="9">
        <v>0</v>
      </c>
      <c r="AD27" s="9">
        <v>0</v>
      </c>
      <c r="AE27" s="9">
        <v>11.741</v>
      </c>
      <c r="AF27" s="9">
        <v>2.4590000000000001</v>
      </c>
      <c r="AG27" s="9">
        <v>3.0000000000000001E-3</v>
      </c>
      <c r="AH27" s="9">
        <v>6.0999999999999999E-2</v>
      </c>
      <c r="AI27" s="9">
        <v>0.502</v>
      </c>
      <c r="AJ27" s="9">
        <v>3.7999999999999999E-2</v>
      </c>
      <c r="AK27" s="9">
        <v>0</v>
      </c>
      <c r="AL27" s="9">
        <v>4.0000000000000001E-3</v>
      </c>
      <c r="AM27" s="9">
        <v>8.2000000000000003E-2</v>
      </c>
      <c r="AN27" s="9">
        <v>1.129</v>
      </c>
      <c r="AO27" s="9">
        <v>2.5999999999999999E-2</v>
      </c>
      <c r="AP27" s="9">
        <v>1.6E-2</v>
      </c>
      <c r="AQ27" s="9">
        <v>1.6E-2</v>
      </c>
      <c r="AR27" s="9">
        <v>1.2E-2</v>
      </c>
      <c r="AS27" s="9">
        <v>1.6E-2</v>
      </c>
      <c r="AT27" s="9">
        <v>22</v>
      </c>
      <c r="AU27" s="9">
        <v>29</v>
      </c>
      <c r="AV27" s="9" t="b">
        <v>0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9">
        <v>656</v>
      </c>
      <c r="CZ27" s="9">
        <v>1372</v>
      </c>
      <c r="DA27" s="9">
        <v>107</v>
      </c>
      <c r="DB27" s="9">
        <v>549</v>
      </c>
      <c r="DC27" s="9">
        <v>1265</v>
      </c>
      <c r="DD27" s="9">
        <v>0.16310975609756101</v>
      </c>
      <c r="DE27" s="9">
        <v>7.7988338192419807E-2</v>
      </c>
      <c r="DF27" s="9">
        <v>0.10552268244575901</v>
      </c>
    </row>
    <row r="28" spans="1:110" ht="16" customHeight="1" x14ac:dyDescent="0.2">
      <c r="A28" s="8" t="s">
        <v>41</v>
      </c>
      <c r="B28" s="9" t="s">
        <v>216</v>
      </c>
      <c r="C28" s="9" t="s">
        <v>173</v>
      </c>
      <c r="D28" s="9" t="s">
        <v>174</v>
      </c>
      <c r="E28" s="9" t="s">
        <v>175</v>
      </c>
      <c r="F28" s="9" t="s">
        <v>176</v>
      </c>
      <c r="G28" s="9">
        <v>0.5</v>
      </c>
      <c r="H28" s="9">
        <v>2</v>
      </c>
      <c r="I28" s="9" t="s">
        <v>177</v>
      </c>
      <c r="J28" s="9" t="s">
        <v>178</v>
      </c>
      <c r="K28" s="9" t="s">
        <v>179</v>
      </c>
      <c r="L28" s="9" t="s">
        <v>180</v>
      </c>
      <c r="M28" s="9">
        <v>491</v>
      </c>
      <c r="N28" s="9">
        <v>0.167006109979633</v>
      </c>
      <c r="O28" s="9">
        <v>5.9766763848396499E-2</v>
      </c>
      <c r="P28" s="9">
        <v>0.2767598</v>
      </c>
      <c r="Q28" s="9">
        <v>9.51</v>
      </c>
      <c r="R28" s="9">
        <v>196</v>
      </c>
      <c r="S28" s="9">
        <v>196</v>
      </c>
      <c r="T28" s="9">
        <v>50301</v>
      </c>
      <c r="U28" s="9">
        <v>392</v>
      </c>
      <c r="V28" s="9">
        <v>50693</v>
      </c>
      <c r="W28" s="9">
        <v>10</v>
      </c>
      <c r="X28" s="9">
        <v>50301</v>
      </c>
      <c r="Y28" s="9">
        <v>392</v>
      </c>
      <c r="Z28" s="9">
        <v>50693</v>
      </c>
      <c r="AA28" s="9">
        <v>9828</v>
      </c>
      <c r="AB28" s="9">
        <v>9828</v>
      </c>
      <c r="AC28" s="9">
        <v>0</v>
      </c>
      <c r="AD28" s="9">
        <v>0</v>
      </c>
      <c r="AE28" s="9">
        <v>7.3140000000000001</v>
      </c>
      <c r="AF28" s="9">
        <v>2.1349999999999998</v>
      </c>
      <c r="AG28" s="9">
        <v>4.0000000000000001E-3</v>
      </c>
      <c r="AH28" s="9">
        <v>5.5E-2</v>
      </c>
      <c r="AI28" s="9">
        <v>0.184</v>
      </c>
      <c r="AJ28" s="9">
        <v>1.7999999999999999E-2</v>
      </c>
      <c r="AK28" s="9">
        <v>0</v>
      </c>
      <c r="AL28" s="9">
        <v>2E-3</v>
      </c>
      <c r="AM28" s="9">
        <v>8.1000000000000003E-2</v>
      </c>
      <c r="AN28" s="9">
        <v>1.6579999999999999</v>
      </c>
      <c r="AO28" s="9">
        <v>1.4E-2</v>
      </c>
      <c r="AP28" s="9">
        <v>1.6E-2</v>
      </c>
      <c r="AQ28" s="9">
        <v>1.0999999999999999E-2</v>
      </c>
      <c r="AR28" s="9">
        <v>1.2999999999999999E-2</v>
      </c>
      <c r="AS28" s="9">
        <v>1.4E-2</v>
      </c>
      <c r="AT28" s="9">
        <v>26</v>
      </c>
      <c r="AU28" s="9">
        <v>28</v>
      </c>
      <c r="AV28" s="9" t="b">
        <v>0</v>
      </c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9">
        <v>491</v>
      </c>
      <c r="CZ28" s="9">
        <v>1372</v>
      </c>
      <c r="DA28" s="9">
        <v>82</v>
      </c>
      <c r="DB28" s="9">
        <v>409</v>
      </c>
      <c r="DC28" s="9">
        <v>1290</v>
      </c>
      <c r="DD28" s="9">
        <v>0.167006109979633</v>
      </c>
      <c r="DE28" s="9">
        <v>5.9766763848396499E-2</v>
      </c>
      <c r="DF28" s="9">
        <v>8.8030059044551801E-2</v>
      </c>
    </row>
    <row r="29" spans="1:110" ht="16" customHeight="1" x14ac:dyDescent="0.2">
      <c r="A29" s="8" t="s">
        <v>41</v>
      </c>
      <c r="B29" s="9" t="s">
        <v>217</v>
      </c>
      <c r="C29" s="9" t="s">
        <v>173</v>
      </c>
      <c r="D29" s="9" t="s">
        <v>174</v>
      </c>
      <c r="E29" s="9" t="s">
        <v>175</v>
      </c>
      <c r="F29" s="9" t="s">
        <v>176</v>
      </c>
      <c r="G29" s="9">
        <v>0.5</v>
      </c>
      <c r="H29" s="9">
        <v>3</v>
      </c>
      <c r="I29" s="9" t="s">
        <v>177</v>
      </c>
      <c r="J29" s="9" t="s">
        <v>178</v>
      </c>
      <c r="K29" s="9" t="s">
        <v>179</v>
      </c>
      <c r="L29" s="9" t="s">
        <v>180</v>
      </c>
      <c r="M29" s="9">
        <v>174</v>
      </c>
      <c r="N29" s="9">
        <v>0.27011494252873602</v>
      </c>
      <c r="O29" s="9">
        <v>3.4256559766763797E-2</v>
      </c>
      <c r="P29" s="9">
        <v>0.29310153999999999</v>
      </c>
      <c r="Q29" s="9">
        <v>9.89</v>
      </c>
      <c r="R29" s="9">
        <v>294</v>
      </c>
      <c r="S29" s="9">
        <v>294</v>
      </c>
      <c r="T29" s="9">
        <v>74660</v>
      </c>
      <c r="U29" s="9">
        <v>588</v>
      </c>
      <c r="V29" s="9">
        <v>75248</v>
      </c>
      <c r="W29" s="9">
        <v>10</v>
      </c>
      <c r="X29" s="9">
        <v>74660</v>
      </c>
      <c r="Y29" s="9">
        <v>588</v>
      </c>
      <c r="Z29" s="9">
        <v>75248</v>
      </c>
      <c r="AA29" s="9">
        <v>9828</v>
      </c>
      <c r="AB29" s="9">
        <v>9828</v>
      </c>
      <c r="AC29" s="9">
        <v>0</v>
      </c>
      <c r="AD29" s="9">
        <v>0</v>
      </c>
      <c r="AE29" s="9">
        <v>7.3849999999999998</v>
      </c>
      <c r="AF29" s="9">
        <v>2.4550000000000001</v>
      </c>
      <c r="AG29" s="9">
        <v>4.0000000000000001E-3</v>
      </c>
      <c r="AH29" s="9">
        <v>4.8000000000000001E-2</v>
      </c>
      <c r="AI29" s="9">
        <v>0.14899999999999999</v>
      </c>
      <c r="AJ29" s="9">
        <v>1.4999999999999999E-2</v>
      </c>
      <c r="AK29" s="9">
        <v>0</v>
      </c>
      <c r="AL29" s="9">
        <v>2E-3</v>
      </c>
      <c r="AM29" s="9">
        <v>8.2000000000000003E-2</v>
      </c>
      <c r="AN29" s="9">
        <v>2.0760000000000001</v>
      </c>
      <c r="AO29" s="9">
        <v>1.0999999999999999E-2</v>
      </c>
      <c r="AP29" s="9">
        <v>1.4999999999999999E-2</v>
      </c>
      <c r="AQ29" s="9">
        <v>0.01</v>
      </c>
      <c r="AR29" s="9">
        <v>1.0999999999999999E-2</v>
      </c>
      <c r="AS29" s="9">
        <v>1.2E-2</v>
      </c>
      <c r="AT29" s="9">
        <v>24</v>
      </c>
      <c r="AU29" s="9">
        <v>28</v>
      </c>
      <c r="AV29" s="9" t="b">
        <v>0</v>
      </c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9">
        <v>174</v>
      </c>
      <c r="CZ29" s="9">
        <v>1372</v>
      </c>
      <c r="DA29" s="9">
        <v>47</v>
      </c>
      <c r="DB29" s="9">
        <v>127</v>
      </c>
      <c r="DC29" s="9">
        <v>1325</v>
      </c>
      <c r="DD29" s="9">
        <v>0.27011494252873602</v>
      </c>
      <c r="DE29" s="9">
        <v>3.4256559766763797E-2</v>
      </c>
      <c r="DF29" s="9">
        <v>6.0802069857697302E-2</v>
      </c>
    </row>
    <row r="30" spans="1:110" ht="16" customHeight="1" x14ac:dyDescent="0.2">
      <c r="A30" s="8" t="s">
        <v>41</v>
      </c>
      <c r="B30" s="9" t="s">
        <v>218</v>
      </c>
      <c r="C30" s="9" t="s">
        <v>173</v>
      </c>
      <c r="D30" s="9" t="s">
        <v>174</v>
      </c>
      <c r="E30" s="9" t="s">
        <v>175</v>
      </c>
      <c r="F30" s="9" t="s">
        <v>176</v>
      </c>
      <c r="G30" s="9">
        <v>0.5</v>
      </c>
      <c r="H30" s="9">
        <v>4</v>
      </c>
      <c r="I30" s="9" t="s">
        <v>177</v>
      </c>
      <c r="J30" s="9" t="s">
        <v>178</v>
      </c>
      <c r="K30" s="9" t="s">
        <v>179</v>
      </c>
      <c r="L30" s="9" t="s">
        <v>180</v>
      </c>
      <c r="M30" s="9">
        <v>268</v>
      </c>
      <c r="N30" s="9">
        <v>0.31343283582089598</v>
      </c>
      <c r="O30" s="9">
        <v>6.1224489795918401E-2</v>
      </c>
      <c r="P30" s="9">
        <v>0.30213018000000003</v>
      </c>
      <c r="Q30" s="9">
        <v>10.31</v>
      </c>
      <c r="R30" s="9">
        <v>393</v>
      </c>
      <c r="S30" s="9">
        <v>393</v>
      </c>
      <c r="T30" s="9">
        <v>103164</v>
      </c>
      <c r="U30" s="9">
        <v>786</v>
      </c>
      <c r="V30" s="9">
        <v>103950</v>
      </c>
      <c r="W30" s="9">
        <v>20</v>
      </c>
      <c r="X30" s="9">
        <v>103164</v>
      </c>
      <c r="Y30" s="9">
        <v>786</v>
      </c>
      <c r="Z30" s="9">
        <v>103950</v>
      </c>
      <c r="AA30" s="9">
        <v>9828</v>
      </c>
      <c r="AB30" s="9">
        <v>9828</v>
      </c>
      <c r="AC30" s="9">
        <v>0</v>
      </c>
      <c r="AD30" s="9">
        <v>0</v>
      </c>
      <c r="AE30" s="9">
        <v>7.3410000000000002</v>
      </c>
      <c r="AF30" s="9">
        <v>2.915</v>
      </c>
      <c r="AG30" s="9">
        <v>4.0000000000000001E-3</v>
      </c>
      <c r="AH30" s="9">
        <v>5.5E-2</v>
      </c>
      <c r="AI30" s="9">
        <v>0.15</v>
      </c>
      <c r="AJ30" s="9">
        <v>1.7000000000000001E-2</v>
      </c>
      <c r="AK30" s="9">
        <v>0</v>
      </c>
      <c r="AL30" s="9">
        <v>2E-3</v>
      </c>
      <c r="AM30" s="9">
        <v>8.6999999999999994E-2</v>
      </c>
      <c r="AN30" s="9">
        <v>2.5219999999999998</v>
      </c>
      <c r="AO30" s="9">
        <v>1.0999999999999999E-2</v>
      </c>
      <c r="AP30" s="9">
        <v>1.6E-2</v>
      </c>
      <c r="AQ30" s="9">
        <v>1.0999999999999999E-2</v>
      </c>
      <c r="AR30" s="9">
        <v>1.4E-2</v>
      </c>
      <c r="AS30" s="9">
        <v>1.2999999999999999E-2</v>
      </c>
      <c r="AT30" s="9">
        <v>25</v>
      </c>
      <c r="AU30" s="9">
        <v>25</v>
      </c>
      <c r="AV30" s="9" t="b">
        <v>0</v>
      </c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9">
        <v>268</v>
      </c>
      <c r="CZ30" s="9">
        <v>1372</v>
      </c>
      <c r="DA30" s="9">
        <v>84</v>
      </c>
      <c r="DB30" s="9">
        <v>184</v>
      </c>
      <c r="DC30" s="9">
        <v>1288</v>
      </c>
      <c r="DD30" s="9">
        <v>0.31343283582089598</v>
      </c>
      <c r="DE30" s="9">
        <v>6.1224489795918401E-2</v>
      </c>
      <c r="DF30" s="9">
        <v>0.10243902439024399</v>
      </c>
    </row>
    <row r="31" spans="1:110" ht="16" customHeight="1" x14ac:dyDescent="0.2">
      <c r="A31" s="8" t="s">
        <v>41</v>
      </c>
      <c r="B31" s="9" t="s">
        <v>219</v>
      </c>
      <c r="C31" s="9" t="s">
        <v>173</v>
      </c>
      <c r="D31" s="9" t="s">
        <v>174</v>
      </c>
      <c r="E31" s="9" t="s">
        <v>175</v>
      </c>
      <c r="F31" s="9" t="s">
        <v>176</v>
      </c>
      <c r="G31" s="9">
        <v>0.5</v>
      </c>
      <c r="H31" s="9">
        <v>5</v>
      </c>
      <c r="I31" s="9" t="s">
        <v>177</v>
      </c>
      <c r="J31" s="9" t="s">
        <v>178</v>
      </c>
      <c r="K31" s="9" t="s">
        <v>179</v>
      </c>
      <c r="L31" s="9" t="s">
        <v>180</v>
      </c>
      <c r="M31" s="9">
        <v>206</v>
      </c>
      <c r="N31" s="9">
        <v>0.37864077669902901</v>
      </c>
      <c r="O31" s="9">
        <v>5.6851311953352801E-2</v>
      </c>
      <c r="P31" s="9">
        <v>0.38574338000000002</v>
      </c>
      <c r="Q31" s="9">
        <v>10.01</v>
      </c>
      <c r="R31" s="9">
        <v>491</v>
      </c>
      <c r="S31" s="9">
        <v>491</v>
      </c>
      <c r="T31" s="9">
        <v>128814</v>
      </c>
      <c r="U31" s="9">
        <v>982</v>
      </c>
      <c r="V31" s="9">
        <v>129796</v>
      </c>
      <c r="W31" s="9">
        <v>20</v>
      </c>
      <c r="X31" s="9">
        <v>128814</v>
      </c>
      <c r="Y31" s="9">
        <v>982</v>
      </c>
      <c r="Z31" s="9">
        <v>129796</v>
      </c>
      <c r="AA31" s="9">
        <v>9828</v>
      </c>
      <c r="AB31" s="9">
        <v>9828</v>
      </c>
      <c r="AC31" s="9">
        <v>0</v>
      </c>
      <c r="AD31" s="9">
        <v>0</v>
      </c>
      <c r="AE31" s="9">
        <v>7.6459999999999999</v>
      </c>
      <c r="AF31" s="9">
        <v>2.302</v>
      </c>
      <c r="AG31" s="9">
        <v>5.0000000000000001E-3</v>
      </c>
      <c r="AH31" s="9">
        <v>5.3999999999999999E-2</v>
      </c>
      <c r="AI31" s="9">
        <v>0.127</v>
      </c>
      <c r="AJ31" s="9">
        <v>1.4E-2</v>
      </c>
      <c r="AK31" s="9">
        <v>0</v>
      </c>
      <c r="AL31" s="9">
        <v>2E-3</v>
      </c>
      <c r="AM31" s="9">
        <v>8.5999999999999993E-2</v>
      </c>
      <c r="AN31" s="9">
        <v>1.9570000000000001</v>
      </c>
      <c r="AO31" s="9">
        <v>0.01</v>
      </c>
      <c r="AP31" s="9">
        <v>1.6E-2</v>
      </c>
      <c r="AQ31" s="9">
        <v>1.0999999999999999E-2</v>
      </c>
      <c r="AR31" s="9">
        <v>1.2999999999999999E-2</v>
      </c>
      <c r="AS31" s="9">
        <v>1.2999999999999999E-2</v>
      </c>
      <c r="AT31" s="9">
        <v>24</v>
      </c>
      <c r="AU31" s="9">
        <v>25</v>
      </c>
      <c r="AV31" s="9" t="b">
        <v>0</v>
      </c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9">
        <v>206</v>
      </c>
      <c r="CZ31" s="9">
        <v>1372</v>
      </c>
      <c r="DA31" s="9">
        <v>78</v>
      </c>
      <c r="DB31" s="9">
        <v>128</v>
      </c>
      <c r="DC31" s="9">
        <v>1294</v>
      </c>
      <c r="DD31" s="9">
        <v>0.37864077669902901</v>
      </c>
      <c r="DE31" s="9">
        <v>5.6851311953352801E-2</v>
      </c>
      <c r="DF31" s="9">
        <v>9.8859315589353597E-2</v>
      </c>
    </row>
    <row r="32" spans="1:110" ht="16" customHeight="1" x14ac:dyDescent="0.2">
      <c r="A32" s="8" t="s">
        <v>41</v>
      </c>
      <c r="B32" s="9" t="s">
        <v>220</v>
      </c>
      <c r="C32" s="9" t="s">
        <v>173</v>
      </c>
      <c r="D32" s="9" t="s">
        <v>174</v>
      </c>
      <c r="E32" s="9" t="s">
        <v>175</v>
      </c>
      <c r="F32" s="9" t="s">
        <v>176</v>
      </c>
      <c r="G32" s="9">
        <v>0.5</v>
      </c>
      <c r="H32" s="9">
        <v>6</v>
      </c>
      <c r="I32" s="9" t="s">
        <v>177</v>
      </c>
      <c r="J32" s="9" t="s">
        <v>178</v>
      </c>
      <c r="K32" s="9" t="s">
        <v>179</v>
      </c>
      <c r="L32" s="9" t="s">
        <v>180</v>
      </c>
      <c r="M32" s="9">
        <v>287</v>
      </c>
      <c r="N32" s="9">
        <v>0.36236933797909399</v>
      </c>
      <c r="O32" s="9">
        <v>7.5801749271137003E-2</v>
      </c>
      <c r="P32" s="9">
        <v>0.39648327999999999</v>
      </c>
      <c r="Q32" s="9">
        <v>11.06</v>
      </c>
      <c r="R32" s="9">
        <v>589</v>
      </c>
      <c r="S32" s="9">
        <v>589</v>
      </c>
      <c r="T32" s="9">
        <v>153833</v>
      </c>
      <c r="U32" s="9">
        <v>1178</v>
      </c>
      <c r="V32" s="9">
        <v>155011</v>
      </c>
      <c r="W32" s="9">
        <v>20</v>
      </c>
      <c r="X32" s="9">
        <v>153833</v>
      </c>
      <c r="Y32" s="9">
        <v>1178</v>
      </c>
      <c r="Z32" s="9">
        <v>155011</v>
      </c>
      <c r="AA32" s="9">
        <v>9828</v>
      </c>
      <c r="AB32" s="9">
        <v>9828</v>
      </c>
      <c r="AC32" s="9">
        <v>0</v>
      </c>
      <c r="AD32" s="9">
        <v>0</v>
      </c>
      <c r="AE32" s="9">
        <v>7.218</v>
      </c>
      <c r="AF32" s="9">
        <v>3.782</v>
      </c>
      <c r="AG32" s="9">
        <v>5.0000000000000001E-3</v>
      </c>
      <c r="AH32" s="9">
        <v>5.0999999999999997E-2</v>
      </c>
      <c r="AI32" s="9">
        <v>0.124</v>
      </c>
      <c r="AJ32" s="9">
        <v>1.2999999999999999E-2</v>
      </c>
      <c r="AK32" s="9">
        <v>0</v>
      </c>
      <c r="AL32" s="9">
        <v>2E-3</v>
      </c>
      <c r="AM32" s="9">
        <v>9.2999999999999999E-2</v>
      </c>
      <c r="AN32" s="9">
        <v>3.4369999999999998</v>
      </c>
      <c r="AO32" s="9">
        <v>0.01</v>
      </c>
      <c r="AP32" s="9">
        <v>1.6E-2</v>
      </c>
      <c r="AQ32" s="9">
        <v>1.0999999999999999E-2</v>
      </c>
      <c r="AR32" s="9">
        <v>1.2E-2</v>
      </c>
      <c r="AS32" s="9">
        <v>1.0999999999999999E-2</v>
      </c>
      <c r="AT32" s="9">
        <v>25</v>
      </c>
      <c r="AU32" s="9">
        <v>25</v>
      </c>
      <c r="AV32" s="9" t="b">
        <v>0</v>
      </c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9">
        <v>287</v>
      </c>
      <c r="CZ32" s="9">
        <v>1372</v>
      </c>
      <c r="DA32" s="9">
        <v>104</v>
      </c>
      <c r="DB32" s="9">
        <v>183</v>
      </c>
      <c r="DC32" s="9">
        <v>1268</v>
      </c>
      <c r="DD32" s="9">
        <v>0.36236933797909399</v>
      </c>
      <c r="DE32" s="9">
        <v>7.5801749271137003E-2</v>
      </c>
      <c r="DF32" s="9">
        <v>0.12537673297167001</v>
      </c>
    </row>
    <row r="33" spans="1:110" ht="16" customHeight="1" x14ac:dyDescent="0.2">
      <c r="A33" s="8" t="s">
        <v>41</v>
      </c>
      <c r="B33" s="9" t="s">
        <v>221</v>
      </c>
      <c r="C33" s="9" t="s">
        <v>173</v>
      </c>
      <c r="D33" s="9" t="s">
        <v>174</v>
      </c>
      <c r="E33" s="9" t="s">
        <v>175</v>
      </c>
      <c r="F33" s="9" t="s">
        <v>176</v>
      </c>
      <c r="G33" s="9">
        <v>0.5</v>
      </c>
      <c r="H33" s="9">
        <v>7</v>
      </c>
      <c r="I33" s="9" t="s">
        <v>177</v>
      </c>
      <c r="J33" s="9" t="s">
        <v>178</v>
      </c>
      <c r="K33" s="9" t="s">
        <v>179</v>
      </c>
      <c r="L33" s="9" t="s">
        <v>180</v>
      </c>
      <c r="M33" s="9">
        <v>294</v>
      </c>
      <c r="N33" s="9">
        <v>0.391156462585034</v>
      </c>
      <c r="O33" s="9">
        <v>8.38192419825073E-2</v>
      </c>
      <c r="P33" s="9">
        <v>0.39424351000000002</v>
      </c>
      <c r="Q33" s="9">
        <v>11.57</v>
      </c>
      <c r="R33" s="9">
        <v>687</v>
      </c>
      <c r="S33" s="9">
        <v>687</v>
      </c>
      <c r="T33" s="9">
        <v>183182</v>
      </c>
      <c r="U33" s="9">
        <v>1374</v>
      </c>
      <c r="V33" s="9">
        <v>184556</v>
      </c>
      <c r="W33" s="9">
        <v>30</v>
      </c>
      <c r="X33" s="9">
        <v>183182</v>
      </c>
      <c r="Y33" s="9">
        <v>1374</v>
      </c>
      <c r="Z33" s="9">
        <v>184556</v>
      </c>
      <c r="AA33" s="9">
        <v>9828</v>
      </c>
      <c r="AB33" s="9">
        <v>9828</v>
      </c>
      <c r="AC33" s="9">
        <v>0</v>
      </c>
      <c r="AD33" s="9">
        <v>0</v>
      </c>
      <c r="AE33" s="9">
        <v>7.093</v>
      </c>
      <c r="AF33" s="9">
        <v>4.4119999999999999</v>
      </c>
      <c r="AG33" s="9">
        <v>7.0000000000000001E-3</v>
      </c>
      <c r="AH33" s="9">
        <v>5.3999999999999999E-2</v>
      </c>
      <c r="AI33" s="9">
        <v>0.14199999999999999</v>
      </c>
      <c r="AJ33" s="9">
        <v>1.4999999999999999E-2</v>
      </c>
      <c r="AK33" s="9">
        <v>0</v>
      </c>
      <c r="AL33" s="9">
        <v>2E-3</v>
      </c>
      <c r="AM33" s="9">
        <v>9.4E-2</v>
      </c>
      <c r="AN33" s="9">
        <v>4.0460000000000003</v>
      </c>
      <c r="AO33" s="9">
        <v>0.01</v>
      </c>
      <c r="AP33" s="9">
        <v>1.6E-2</v>
      </c>
      <c r="AQ33" s="9">
        <v>1.0999999999999999E-2</v>
      </c>
      <c r="AR33" s="9">
        <v>1.2999999999999999E-2</v>
      </c>
      <c r="AS33" s="9">
        <v>1.2999999999999999E-2</v>
      </c>
      <c r="AT33" s="9">
        <v>24</v>
      </c>
      <c r="AU33" s="9">
        <v>24</v>
      </c>
      <c r="AV33" s="9" t="b">
        <v>0</v>
      </c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9">
        <v>294</v>
      </c>
      <c r="CZ33" s="9">
        <v>1372</v>
      </c>
      <c r="DA33" s="9">
        <v>115</v>
      </c>
      <c r="DB33" s="9">
        <v>179</v>
      </c>
      <c r="DC33" s="9">
        <v>1257</v>
      </c>
      <c r="DD33" s="9">
        <v>0.391156462585034</v>
      </c>
      <c r="DE33" s="9">
        <v>8.38192419825073E-2</v>
      </c>
      <c r="DF33" s="9">
        <v>0.138055222088836</v>
      </c>
    </row>
    <row r="34" spans="1:110" s="4" customFormat="1" ht="16" customHeight="1" x14ac:dyDescent="0.2">
      <c r="A34" s="21" t="s">
        <v>41</v>
      </c>
      <c r="B34" s="20" t="s">
        <v>222</v>
      </c>
      <c r="C34" s="20" t="s">
        <v>173</v>
      </c>
      <c r="D34" s="20" t="s">
        <v>174</v>
      </c>
      <c r="E34" s="20" t="s">
        <v>175</v>
      </c>
      <c r="F34" s="20" t="s">
        <v>176</v>
      </c>
      <c r="G34" s="20">
        <v>0.5</v>
      </c>
      <c r="H34" s="20">
        <v>8</v>
      </c>
      <c r="I34" s="20" t="s">
        <v>177</v>
      </c>
      <c r="J34" s="20" t="s">
        <v>178</v>
      </c>
      <c r="K34" s="20" t="s">
        <v>179</v>
      </c>
      <c r="L34" s="20" t="s">
        <v>180</v>
      </c>
      <c r="M34" s="20">
        <v>335</v>
      </c>
      <c r="N34" s="20">
        <v>0.34328358208955201</v>
      </c>
      <c r="O34" s="20">
        <v>8.38192419825073E-2</v>
      </c>
      <c r="P34" s="23">
        <v>0.42622937</v>
      </c>
      <c r="Q34" s="20">
        <v>12.09</v>
      </c>
      <c r="R34" s="20">
        <v>786</v>
      </c>
      <c r="S34" s="20">
        <v>786</v>
      </c>
      <c r="T34" s="20">
        <v>207877</v>
      </c>
      <c r="U34" s="20">
        <v>1572</v>
      </c>
      <c r="V34" s="20">
        <v>209449</v>
      </c>
      <c r="W34" s="20">
        <v>30</v>
      </c>
      <c r="X34" s="20">
        <v>207877</v>
      </c>
      <c r="Y34" s="20">
        <v>1572</v>
      </c>
      <c r="Z34" s="20">
        <v>209449</v>
      </c>
      <c r="AA34" s="20">
        <v>9828</v>
      </c>
      <c r="AB34" s="20">
        <v>9828</v>
      </c>
      <c r="AC34" s="20">
        <v>0</v>
      </c>
      <c r="AD34" s="20">
        <v>0</v>
      </c>
      <c r="AE34" s="20">
        <v>7.4109999999999996</v>
      </c>
      <c r="AF34" s="20">
        <v>4.6260000000000003</v>
      </c>
      <c r="AG34" s="20">
        <v>5.0000000000000001E-3</v>
      </c>
      <c r="AH34" s="20">
        <v>4.5999999999999999E-2</v>
      </c>
      <c r="AI34" s="20">
        <v>0.14299999999999999</v>
      </c>
      <c r="AJ34" s="20">
        <v>1.6E-2</v>
      </c>
      <c r="AK34" s="20">
        <v>0</v>
      </c>
      <c r="AL34" s="20">
        <v>2E-3</v>
      </c>
      <c r="AM34" s="20">
        <v>9.0999999999999998E-2</v>
      </c>
      <c r="AN34" s="20">
        <v>4.2619999999999996</v>
      </c>
      <c r="AO34" s="20">
        <v>0.01</v>
      </c>
      <c r="AP34" s="20">
        <v>1.4E-2</v>
      </c>
      <c r="AQ34" s="20">
        <v>0.01</v>
      </c>
      <c r="AR34" s="20">
        <v>1.0999999999999999E-2</v>
      </c>
      <c r="AS34" s="20">
        <v>1.0999999999999999E-2</v>
      </c>
      <c r="AT34" s="20">
        <v>24</v>
      </c>
      <c r="AU34" s="20">
        <v>24</v>
      </c>
      <c r="AV34" s="20" t="b">
        <v>0</v>
      </c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0">
        <v>335</v>
      </c>
      <c r="CZ34" s="20">
        <v>1372</v>
      </c>
      <c r="DA34" s="20">
        <v>115</v>
      </c>
      <c r="DB34" s="20">
        <v>220</v>
      </c>
      <c r="DC34" s="20">
        <v>1257</v>
      </c>
      <c r="DD34" s="20">
        <v>0.34328358208955201</v>
      </c>
      <c r="DE34" s="20">
        <v>8.38192419825073E-2</v>
      </c>
      <c r="DF34" s="20">
        <v>0.134739308728764</v>
      </c>
    </row>
    <row r="35" spans="1:110" ht="16" customHeight="1" x14ac:dyDescent="0.2">
      <c r="A35" s="8" t="s">
        <v>41</v>
      </c>
      <c r="B35" s="9" t="s">
        <v>223</v>
      </c>
      <c r="C35" s="9" t="s">
        <v>173</v>
      </c>
      <c r="D35" s="9" t="s">
        <v>174</v>
      </c>
      <c r="E35" s="9" t="s">
        <v>175</v>
      </c>
      <c r="F35" s="9" t="s">
        <v>176</v>
      </c>
      <c r="G35" s="9">
        <v>0.5</v>
      </c>
      <c r="H35" s="9">
        <v>9</v>
      </c>
      <c r="I35" s="9" t="s">
        <v>177</v>
      </c>
      <c r="J35" s="9" t="s">
        <v>178</v>
      </c>
      <c r="K35" s="9" t="s">
        <v>179</v>
      </c>
      <c r="L35" s="9" t="s">
        <v>180</v>
      </c>
      <c r="M35" s="9">
        <v>348</v>
      </c>
      <c r="N35" s="9">
        <v>0.40229885057471299</v>
      </c>
      <c r="O35" s="9">
        <v>0.102040816326531</v>
      </c>
      <c r="P35" s="9">
        <v>0.42682622999999997</v>
      </c>
      <c r="Q35" s="9">
        <v>11.64</v>
      </c>
      <c r="R35" s="9">
        <v>884</v>
      </c>
      <c r="S35" s="9">
        <v>884</v>
      </c>
      <c r="T35" s="9">
        <v>231546</v>
      </c>
      <c r="U35" s="9">
        <v>1768</v>
      </c>
      <c r="V35" s="9">
        <v>233314</v>
      </c>
      <c r="W35" s="9">
        <v>30</v>
      </c>
      <c r="X35" s="9">
        <v>231546</v>
      </c>
      <c r="Y35" s="9">
        <v>1768</v>
      </c>
      <c r="Z35" s="9">
        <v>233314</v>
      </c>
      <c r="AA35" s="9">
        <v>9828</v>
      </c>
      <c r="AB35" s="9">
        <v>9828</v>
      </c>
      <c r="AC35" s="9">
        <v>0</v>
      </c>
      <c r="AD35" s="9">
        <v>0</v>
      </c>
      <c r="AE35" s="9">
        <v>7.024</v>
      </c>
      <c r="AF35" s="9">
        <v>4.569</v>
      </c>
      <c r="AG35" s="9">
        <v>5.0000000000000001E-3</v>
      </c>
      <c r="AH35" s="9">
        <v>4.4999999999999998E-2</v>
      </c>
      <c r="AI35" s="9">
        <v>0.14399999999999999</v>
      </c>
      <c r="AJ35" s="9">
        <v>1.4999999999999999E-2</v>
      </c>
      <c r="AK35" s="9">
        <v>0</v>
      </c>
      <c r="AL35" s="9">
        <v>2E-3</v>
      </c>
      <c r="AM35" s="9">
        <v>8.8999999999999996E-2</v>
      </c>
      <c r="AN35" s="9">
        <v>4.2050000000000001</v>
      </c>
      <c r="AO35" s="9">
        <v>8.9999999999999993E-3</v>
      </c>
      <c r="AP35" s="9">
        <v>1.4999999999999999E-2</v>
      </c>
      <c r="AQ35" s="9">
        <v>0.01</v>
      </c>
      <c r="AR35" s="9">
        <v>0.01</v>
      </c>
      <c r="AS35" s="9">
        <v>1.0999999999999999E-2</v>
      </c>
      <c r="AT35" s="9">
        <v>22</v>
      </c>
      <c r="AU35" s="9">
        <v>24</v>
      </c>
      <c r="AV35" s="9" t="b">
        <v>0</v>
      </c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9">
        <v>348</v>
      </c>
      <c r="CZ35" s="9">
        <v>1372</v>
      </c>
      <c r="DA35" s="9">
        <v>140</v>
      </c>
      <c r="DB35" s="9">
        <v>208</v>
      </c>
      <c r="DC35" s="9">
        <v>1232</v>
      </c>
      <c r="DD35" s="9">
        <v>0.40229885057471299</v>
      </c>
      <c r="DE35" s="9">
        <v>0.102040816326531</v>
      </c>
      <c r="DF35" s="9">
        <v>0.162790697674419</v>
      </c>
    </row>
    <row r="36" spans="1:110" ht="16" customHeight="1" x14ac:dyDescent="0.2">
      <c r="A36" s="8" t="s">
        <v>41</v>
      </c>
      <c r="B36" s="9" t="s">
        <v>224</v>
      </c>
      <c r="C36" s="9" t="s">
        <v>173</v>
      </c>
      <c r="D36" s="9" t="s">
        <v>174</v>
      </c>
      <c r="E36" s="9" t="s">
        <v>175</v>
      </c>
      <c r="F36" s="9" t="s">
        <v>176</v>
      </c>
      <c r="G36" s="9">
        <v>0.5</v>
      </c>
      <c r="H36" s="9">
        <v>10</v>
      </c>
      <c r="I36" s="9" t="s">
        <v>177</v>
      </c>
      <c r="J36" s="9" t="s">
        <v>178</v>
      </c>
      <c r="K36" s="9" t="s">
        <v>179</v>
      </c>
      <c r="L36" s="9" t="s">
        <v>180</v>
      </c>
      <c r="M36" s="9">
        <v>433</v>
      </c>
      <c r="N36" s="9">
        <v>0.42725173210161699</v>
      </c>
      <c r="O36" s="9">
        <v>0.13483965014577301</v>
      </c>
      <c r="P36" s="9">
        <v>0.35228502</v>
      </c>
      <c r="Q36" s="9">
        <v>12.71</v>
      </c>
      <c r="R36" s="9">
        <v>982</v>
      </c>
      <c r="S36" s="9">
        <v>982</v>
      </c>
      <c r="T36" s="9">
        <v>265786</v>
      </c>
      <c r="U36" s="9">
        <v>1964</v>
      </c>
      <c r="V36" s="9">
        <v>267750</v>
      </c>
      <c r="W36" s="9">
        <v>40</v>
      </c>
      <c r="X36" s="9">
        <v>265786</v>
      </c>
      <c r="Y36" s="9">
        <v>1964</v>
      </c>
      <c r="Z36" s="9">
        <v>267750</v>
      </c>
      <c r="AA36" s="9">
        <v>9828</v>
      </c>
      <c r="AB36" s="9">
        <v>9828</v>
      </c>
      <c r="AC36" s="9">
        <v>0</v>
      </c>
      <c r="AD36" s="9">
        <v>0</v>
      </c>
      <c r="AE36" s="9">
        <v>7.2439999999999998</v>
      </c>
      <c r="AF36" s="9">
        <v>5.4109999999999996</v>
      </c>
      <c r="AG36" s="9">
        <v>8.0000000000000002E-3</v>
      </c>
      <c r="AH36" s="9">
        <v>4.5999999999999999E-2</v>
      </c>
      <c r="AI36" s="9">
        <v>0.14499999999999999</v>
      </c>
      <c r="AJ36" s="9">
        <v>1.4999999999999999E-2</v>
      </c>
      <c r="AK36" s="9">
        <v>0</v>
      </c>
      <c r="AL36" s="9">
        <v>2E-3</v>
      </c>
      <c r="AM36" s="9">
        <v>9.2999999999999999E-2</v>
      </c>
      <c r="AN36" s="9">
        <v>5.0460000000000003</v>
      </c>
      <c r="AO36" s="9">
        <v>0.01</v>
      </c>
      <c r="AP36" s="9">
        <v>1.4999999999999999E-2</v>
      </c>
      <c r="AQ36" s="9">
        <v>0.01</v>
      </c>
      <c r="AR36" s="9">
        <v>1.0999999999999999E-2</v>
      </c>
      <c r="AS36" s="9">
        <v>1.0999999999999999E-2</v>
      </c>
      <c r="AT36" s="9">
        <v>24</v>
      </c>
      <c r="AU36" s="9">
        <v>25</v>
      </c>
      <c r="AV36" s="9" t="b">
        <v>0</v>
      </c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9">
        <v>433</v>
      </c>
      <c r="CZ36" s="9">
        <v>1372</v>
      </c>
      <c r="DA36" s="9">
        <v>185</v>
      </c>
      <c r="DB36" s="9">
        <v>248</v>
      </c>
      <c r="DC36" s="9">
        <v>1187</v>
      </c>
      <c r="DD36" s="9">
        <v>0.42725173210161699</v>
      </c>
      <c r="DE36" s="9">
        <v>0.13483965014577301</v>
      </c>
      <c r="DF36" s="9">
        <v>0.20498614958448799</v>
      </c>
    </row>
    <row r="37" spans="1:110" ht="16" customHeight="1" x14ac:dyDescent="0.2">
      <c r="A37" s="8" t="s">
        <v>41</v>
      </c>
      <c r="B37" s="9" t="s">
        <v>225</v>
      </c>
      <c r="C37" s="9" t="s">
        <v>186</v>
      </c>
      <c r="D37" s="9" t="s">
        <v>186</v>
      </c>
      <c r="E37" s="9" t="s">
        <v>187</v>
      </c>
      <c r="F37" s="9" t="s">
        <v>176</v>
      </c>
      <c r="G37" s="9">
        <v>0.5</v>
      </c>
      <c r="H37" s="9">
        <v>100</v>
      </c>
      <c r="I37" s="9" t="s">
        <v>188</v>
      </c>
      <c r="J37" s="9" t="s">
        <v>188</v>
      </c>
      <c r="K37" s="9" t="s">
        <v>179</v>
      </c>
      <c r="L37" s="9" t="s">
        <v>180</v>
      </c>
      <c r="M37" s="9">
        <v>3216</v>
      </c>
      <c r="N37" s="9">
        <v>0.39148009950248802</v>
      </c>
      <c r="O37" s="9">
        <v>0.91763848396501502</v>
      </c>
      <c r="P37" s="9">
        <v>0.54882301656495203</v>
      </c>
      <c r="Q37" s="9">
        <v>88.69</v>
      </c>
      <c r="R37" s="9">
        <v>982</v>
      </c>
      <c r="S37" s="9">
        <v>9828</v>
      </c>
      <c r="T37" s="9">
        <v>2607029</v>
      </c>
      <c r="U37" s="9">
        <v>19656</v>
      </c>
      <c r="V37" s="9">
        <v>2626685</v>
      </c>
      <c r="W37" s="9">
        <v>0</v>
      </c>
      <c r="X37" s="9">
        <v>0</v>
      </c>
      <c r="Y37" s="9">
        <v>0</v>
      </c>
      <c r="Z37" s="9">
        <v>0</v>
      </c>
      <c r="AA37" s="9">
        <v>9828</v>
      </c>
      <c r="AB37" s="9">
        <v>9828</v>
      </c>
      <c r="AC37" s="9">
        <v>0</v>
      </c>
      <c r="AD37" s="9">
        <v>0</v>
      </c>
      <c r="AE37" s="9">
        <v>7.2439999999999998</v>
      </c>
      <c r="AF37" s="9">
        <v>81.394999999999996</v>
      </c>
      <c r="AG37" s="9">
        <v>8.0000000000000002E-3</v>
      </c>
      <c r="AH37" s="9">
        <v>4.5999999999999999E-2</v>
      </c>
      <c r="AI37" s="9">
        <v>0.14499999999999999</v>
      </c>
      <c r="AJ37" s="9">
        <v>1.4999999999999999E-2</v>
      </c>
      <c r="AK37" s="9">
        <v>0</v>
      </c>
      <c r="AL37" s="9">
        <v>2E-3</v>
      </c>
      <c r="AM37" s="9">
        <v>9.2999999999999999E-2</v>
      </c>
      <c r="AN37" s="9">
        <v>5.0460000000000003</v>
      </c>
      <c r="AO37" s="9">
        <v>0.01</v>
      </c>
      <c r="AP37" s="9">
        <v>1.4999999999999999E-2</v>
      </c>
      <c r="AQ37" s="9">
        <v>0.01</v>
      </c>
      <c r="AR37" s="9">
        <v>1.0999999999999999E-2</v>
      </c>
      <c r="AS37" s="9">
        <v>1.0999999999999999E-2</v>
      </c>
      <c r="AT37" s="9">
        <v>24</v>
      </c>
      <c r="AU37" s="9">
        <v>25</v>
      </c>
      <c r="AV37" s="9" t="b">
        <v>0</v>
      </c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9">
        <v>3216</v>
      </c>
      <c r="CZ37" s="9">
        <v>1372</v>
      </c>
      <c r="DA37" s="9">
        <v>1259</v>
      </c>
      <c r="DB37" s="9">
        <v>1957</v>
      </c>
      <c r="DC37" s="9">
        <v>113</v>
      </c>
      <c r="DD37" s="9">
        <v>0.39148009950248802</v>
      </c>
      <c r="DE37" s="9">
        <v>0.91763848396501502</v>
      </c>
      <c r="DF37" s="9">
        <v>0.54882301656495203</v>
      </c>
    </row>
    <row r="38" spans="1:110" ht="16" customHeight="1" x14ac:dyDescent="0.2">
      <c r="A38" s="8" t="s">
        <v>41</v>
      </c>
      <c r="B38" s="9" t="s">
        <v>226</v>
      </c>
      <c r="C38" s="9" t="s">
        <v>227</v>
      </c>
      <c r="D38" s="9" t="s">
        <v>174</v>
      </c>
      <c r="E38" s="9" t="s">
        <v>228</v>
      </c>
      <c r="F38" s="9" t="s">
        <v>176</v>
      </c>
      <c r="G38" s="9">
        <v>0.5</v>
      </c>
      <c r="H38" s="9">
        <v>1</v>
      </c>
      <c r="I38" s="9" t="s">
        <v>177</v>
      </c>
      <c r="J38" s="9" t="s">
        <v>178</v>
      </c>
      <c r="K38" s="9" t="s">
        <v>179</v>
      </c>
      <c r="L38" s="9" t="s">
        <v>180</v>
      </c>
      <c r="M38" s="9">
        <v>1324</v>
      </c>
      <c r="N38" s="9">
        <v>0.29456193353474303</v>
      </c>
      <c r="O38" s="9">
        <v>0.28425655976676401</v>
      </c>
      <c r="P38" s="20">
        <v>0.28931750741839801</v>
      </c>
      <c r="Q38" s="9">
        <v>36.049999999999997</v>
      </c>
      <c r="R38" s="9">
        <v>98</v>
      </c>
      <c r="S38" s="9">
        <v>2430</v>
      </c>
      <c r="T38" s="9">
        <v>653385</v>
      </c>
      <c r="U38" s="9">
        <v>4860</v>
      </c>
      <c r="V38" s="9">
        <v>658245</v>
      </c>
      <c r="W38" s="9">
        <v>83</v>
      </c>
      <c r="X38" s="9">
        <v>653385</v>
      </c>
      <c r="Y38" s="9">
        <v>4860</v>
      </c>
      <c r="Z38" s="9">
        <v>658245</v>
      </c>
      <c r="AA38" s="9">
        <v>9828</v>
      </c>
      <c r="AB38" s="9">
        <v>7496</v>
      </c>
      <c r="AC38" s="9">
        <v>2332</v>
      </c>
      <c r="AD38" s="9">
        <v>0.23728123728123701</v>
      </c>
      <c r="AE38" s="9">
        <v>11.739000000000001</v>
      </c>
      <c r="AF38" s="9">
        <v>24.253</v>
      </c>
      <c r="AG38" s="9">
        <v>3.0000000000000001E-3</v>
      </c>
      <c r="AH38" s="9">
        <v>5.8000000000000003E-2</v>
      </c>
      <c r="AI38" s="9">
        <v>0.496</v>
      </c>
      <c r="AJ38" s="9">
        <v>3.6999999999999998E-2</v>
      </c>
      <c r="AK38" s="9">
        <v>0</v>
      </c>
      <c r="AL38" s="9">
        <v>4.0000000000000001E-3</v>
      </c>
      <c r="AM38" s="9">
        <v>0</v>
      </c>
      <c r="AN38" s="9">
        <v>22.835000000000001</v>
      </c>
      <c r="AO38" s="9">
        <v>2.5000000000000001E-2</v>
      </c>
      <c r="AP38" s="9">
        <v>1.6E-2</v>
      </c>
      <c r="AQ38" s="9">
        <v>1.4999999999999999E-2</v>
      </c>
      <c r="AR38" s="9">
        <v>1.2E-2</v>
      </c>
      <c r="AS38" s="9">
        <v>1.6E-2</v>
      </c>
      <c r="AT38" s="9">
        <v>21</v>
      </c>
      <c r="AU38" s="9">
        <v>29</v>
      </c>
      <c r="AV38" s="9" t="b">
        <v>1</v>
      </c>
      <c r="AW38" s="19"/>
      <c r="AX38" s="9" t="s">
        <v>229</v>
      </c>
      <c r="AY38" s="9">
        <v>38</v>
      </c>
      <c r="AZ38" s="9">
        <v>16</v>
      </c>
      <c r="BA38" s="9">
        <v>22</v>
      </c>
      <c r="BB38" s="9">
        <v>0.95</v>
      </c>
      <c r="BC38" s="9">
        <v>0.95</v>
      </c>
      <c r="BD38" s="19"/>
      <c r="BE38" s="19"/>
      <c r="BF38" s="19"/>
      <c r="BG38" s="19"/>
      <c r="BH38" s="9" t="s">
        <v>230</v>
      </c>
      <c r="BI38" s="9">
        <v>564</v>
      </c>
      <c r="BJ38" s="9">
        <v>2332</v>
      </c>
      <c r="BK38" s="9">
        <v>6932</v>
      </c>
      <c r="BL38" s="9">
        <v>0.23967112024666001</v>
      </c>
      <c r="BM38" s="19"/>
      <c r="BN38" s="19"/>
      <c r="BO38" s="19"/>
      <c r="BP38" s="19"/>
      <c r="BQ38" s="19"/>
      <c r="BR38" s="19"/>
      <c r="BS38" s="9" t="b">
        <v>1</v>
      </c>
      <c r="BT38" s="9">
        <v>2332</v>
      </c>
      <c r="BU38" s="9">
        <v>760</v>
      </c>
      <c r="BV38" s="9">
        <v>21.407505035400401</v>
      </c>
      <c r="BW38" s="19"/>
      <c r="BX38" s="19"/>
      <c r="BY38" s="9">
        <v>21.517182111740102</v>
      </c>
      <c r="BZ38" s="9" t="s">
        <v>231</v>
      </c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9">
        <v>1324</v>
      </c>
      <c r="CP38" s="9">
        <v>523</v>
      </c>
      <c r="CQ38" s="9">
        <v>25</v>
      </c>
      <c r="CR38" s="9">
        <v>16</v>
      </c>
      <c r="CS38" s="9">
        <v>760</v>
      </c>
      <c r="CT38" s="9">
        <v>8504</v>
      </c>
      <c r="CU38" s="9">
        <v>6875</v>
      </c>
      <c r="CV38" s="9">
        <v>35</v>
      </c>
      <c r="CW38" s="9">
        <v>22</v>
      </c>
      <c r="CX38" s="9">
        <v>1572</v>
      </c>
      <c r="CY38" s="9">
        <v>1324</v>
      </c>
      <c r="CZ38" s="9">
        <v>1372</v>
      </c>
      <c r="DA38" s="9">
        <v>390</v>
      </c>
      <c r="DB38" s="9">
        <v>934</v>
      </c>
      <c r="DC38" s="9">
        <v>982</v>
      </c>
      <c r="DD38" s="9">
        <v>0.29456193353474303</v>
      </c>
      <c r="DE38" s="9">
        <v>0.28425655976676401</v>
      </c>
      <c r="DF38" s="9">
        <v>0.28931750741839801</v>
      </c>
    </row>
    <row r="39" spans="1:110" ht="16" customHeight="1" x14ac:dyDescent="0.2">
      <c r="A39" s="8" t="s">
        <v>41</v>
      </c>
      <c r="B39" s="9" t="s">
        <v>232</v>
      </c>
      <c r="C39" s="9" t="s">
        <v>227</v>
      </c>
      <c r="D39" s="9" t="s">
        <v>174</v>
      </c>
      <c r="E39" s="9" t="s">
        <v>228</v>
      </c>
      <c r="F39" s="9" t="s">
        <v>176</v>
      </c>
      <c r="G39" s="9">
        <v>0.5</v>
      </c>
      <c r="H39" s="9">
        <v>2</v>
      </c>
      <c r="I39" s="9" t="s">
        <v>177</v>
      </c>
      <c r="J39" s="9" t="s">
        <v>178</v>
      </c>
      <c r="K39" s="9" t="s">
        <v>179</v>
      </c>
      <c r="L39" s="9" t="s">
        <v>180</v>
      </c>
      <c r="M39" s="9">
        <v>1190</v>
      </c>
      <c r="N39" s="9">
        <v>0.33697478991596602</v>
      </c>
      <c r="O39" s="9">
        <v>0.29227405247813398</v>
      </c>
      <c r="P39" s="20">
        <v>0.31303669008586998</v>
      </c>
      <c r="Q39" s="9">
        <v>27.24</v>
      </c>
      <c r="R39" s="9">
        <v>196</v>
      </c>
      <c r="S39" s="9">
        <v>3129</v>
      </c>
      <c r="T39" s="9">
        <v>819152</v>
      </c>
      <c r="U39" s="9">
        <v>6258</v>
      </c>
      <c r="V39" s="9">
        <v>825410</v>
      </c>
      <c r="W39" s="9">
        <v>102</v>
      </c>
      <c r="X39" s="9">
        <v>819152</v>
      </c>
      <c r="Y39" s="9">
        <v>6258</v>
      </c>
      <c r="Z39" s="9">
        <v>825410</v>
      </c>
      <c r="AA39" s="9">
        <v>9828</v>
      </c>
      <c r="AB39" s="9">
        <v>6895</v>
      </c>
      <c r="AC39" s="9">
        <v>2933</v>
      </c>
      <c r="AD39" s="9">
        <v>0.29843304843304802</v>
      </c>
      <c r="AE39" s="9">
        <v>7.1050000000000004</v>
      </c>
      <c r="AF39" s="9">
        <v>20.088000000000001</v>
      </c>
      <c r="AG39" s="9">
        <v>4.0000000000000001E-3</v>
      </c>
      <c r="AH39" s="9">
        <v>4.5999999999999999E-2</v>
      </c>
      <c r="AI39" s="9">
        <v>0.187</v>
      </c>
      <c r="AJ39" s="9">
        <v>1.7000000000000001E-2</v>
      </c>
      <c r="AK39" s="9">
        <v>0</v>
      </c>
      <c r="AL39" s="9">
        <v>2E-3</v>
      </c>
      <c r="AM39" s="9">
        <v>0</v>
      </c>
      <c r="AN39" s="9">
        <v>19.547000000000001</v>
      </c>
      <c r="AO39" s="9">
        <v>0.03</v>
      </c>
      <c r="AP39" s="9">
        <v>1.4999999999999999E-2</v>
      </c>
      <c r="AQ39" s="9">
        <v>0.01</v>
      </c>
      <c r="AR39" s="9">
        <v>0.01</v>
      </c>
      <c r="AS39" s="9">
        <v>1.2E-2</v>
      </c>
      <c r="AT39" s="9">
        <v>22</v>
      </c>
      <c r="AU39" s="9">
        <v>27</v>
      </c>
      <c r="AV39" s="9" t="b">
        <v>1</v>
      </c>
      <c r="AW39" s="19"/>
      <c r="AX39" s="9" t="s">
        <v>229</v>
      </c>
      <c r="AY39" s="9">
        <v>78</v>
      </c>
      <c r="AZ39" s="9">
        <v>28</v>
      </c>
      <c r="BA39" s="9">
        <v>50</v>
      </c>
      <c r="BB39" s="9">
        <v>0.95</v>
      </c>
      <c r="BC39" s="9">
        <v>0.95</v>
      </c>
      <c r="BD39" s="19"/>
      <c r="BE39" s="19"/>
      <c r="BF39" s="19"/>
      <c r="BG39" s="19"/>
      <c r="BH39" s="9" t="s">
        <v>230</v>
      </c>
      <c r="BI39" s="9">
        <v>91</v>
      </c>
      <c r="BJ39" s="9">
        <v>2933</v>
      </c>
      <c r="BK39" s="9">
        <v>6804</v>
      </c>
      <c r="BL39" s="9">
        <v>0.30450581395348802</v>
      </c>
      <c r="BM39" s="19"/>
      <c r="BN39" s="19"/>
      <c r="BO39" s="19"/>
      <c r="BP39" s="19"/>
      <c r="BQ39" s="19"/>
      <c r="BR39" s="19"/>
      <c r="BS39" s="9" t="b">
        <v>1</v>
      </c>
      <c r="BT39" s="9">
        <v>2933</v>
      </c>
      <c r="BU39" s="9">
        <v>1099</v>
      </c>
      <c r="BV39" s="9">
        <v>17.936682701110801</v>
      </c>
      <c r="BW39" s="19"/>
      <c r="BX39" s="19"/>
      <c r="BY39" s="9">
        <v>18.006210327148398</v>
      </c>
      <c r="BZ39" s="9" t="s">
        <v>231</v>
      </c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9">
        <v>1190</v>
      </c>
      <c r="CP39" s="9">
        <v>19</v>
      </c>
      <c r="CQ39" s="9">
        <v>44</v>
      </c>
      <c r="CR39" s="9">
        <v>28</v>
      </c>
      <c r="CS39" s="9">
        <v>1099</v>
      </c>
      <c r="CT39" s="9">
        <v>8638</v>
      </c>
      <c r="CU39" s="9">
        <v>6680</v>
      </c>
      <c r="CV39" s="9">
        <v>74</v>
      </c>
      <c r="CW39" s="9">
        <v>50</v>
      </c>
      <c r="CX39" s="9">
        <v>1834</v>
      </c>
      <c r="CY39" s="9">
        <v>1190</v>
      </c>
      <c r="CZ39" s="9">
        <v>1372</v>
      </c>
      <c r="DA39" s="9">
        <v>401</v>
      </c>
      <c r="DB39" s="9">
        <v>789</v>
      </c>
      <c r="DC39" s="9">
        <v>971</v>
      </c>
      <c r="DD39" s="9">
        <v>0.33697478991596602</v>
      </c>
      <c r="DE39" s="9">
        <v>0.29227405247813398</v>
      </c>
      <c r="DF39" s="9">
        <v>0.31303669008586998</v>
      </c>
    </row>
    <row r="40" spans="1:110" ht="16" customHeight="1" x14ac:dyDescent="0.2">
      <c r="A40" s="8" t="s">
        <v>41</v>
      </c>
      <c r="B40" s="9" t="s">
        <v>233</v>
      </c>
      <c r="C40" s="9" t="s">
        <v>227</v>
      </c>
      <c r="D40" s="9" t="s">
        <v>174</v>
      </c>
      <c r="E40" s="9" t="s">
        <v>228</v>
      </c>
      <c r="F40" s="9" t="s">
        <v>176</v>
      </c>
      <c r="G40" s="9">
        <v>0.5</v>
      </c>
      <c r="H40" s="9">
        <v>3</v>
      </c>
      <c r="I40" s="9" t="s">
        <v>177</v>
      </c>
      <c r="J40" s="9" t="s">
        <v>178</v>
      </c>
      <c r="K40" s="9" t="s">
        <v>179</v>
      </c>
      <c r="L40" s="9" t="s">
        <v>180</v>
      </c>
      <c r="M40" s="9">
        <v>1703</v>
      </c>
      <c r="N40" s="9">
        <v>0.36699941280094001</v>
      </c>
      <c r="O40" s="9">
        <v>0.45553935860058298</v>
      </c>
      <c r="P40" s="20">
        <v>0.40650406504065001</v>
      </c>
      <c r="Q40" s="9">
        <v>31.63</v>
      </c>
      <c r="R40" s="9">
        <v>294</v>
      </c>
      <c r="S40" s="9">
        <v>4306</v>
      </c>
      <c r="T40" s="9">
        <v>1153599</v>
      </c>
      <c r="U40" s="9">
        <v>8674</v>
      </c>
      <c r="V40" s="9">
        <v>1162273</v>
      </c>
      <c r="W40" s="9">
        <v>136</v>
      </c>
      <c r="X40" s="9">
        <v>1153599</v>
      </c>
      <c r="Y40" s="9">
        <v>8674</v>
      </c>
      <c r="Z40" s="9">
        <v>1162273</v>
      </c>
      <c r="AA40" s="9">
        <v>9828</v>
      </c>
      <c r="AB40" s="9">
        <v>5816</v>
      </c>
      <c r="AC40" s="9">
        <v>4012</v>
      </c>
      <c r="AD40" s="9">
        <v>0.40822140822140801</v>
      </c>
      <c r="AE40" s="9">
        <v>7.5510000000000002</v>
      </c>
      <c r="AF40" s="9">
        <v>24.024999999999999</v>
      </c>
      <c r="AG40" s="9">
        <v>3.0000000000000001E-3</v>
      </c>
      <c r="AH40" s="9">
        <v>5.5E-2</v>
      </c>
      <c r="AI40" s="9">
        <v>0.16200000000000001</v>
      </c>
      <c r="AJ40" s="9">
        <v>1.4E-2</v>
      </c>
      <c r="AK40" s="9">
        <v>0</v>
      </c>
      <c r="AL40" s="9">
        <v>2E-3</v>
      </c>
      <c r="AM40" s="9">
        <v>0</v>
      </c>
      <c r="AN40" s="9">
        <v>23.492999999999999</v>
      </c>
      <c r="AO40" s="9">
        <v>1.4999999999999999E-2</v>
      </c>
      <c r="AP40" s="9">
        <v>1.6E-2</v>
      </c>
      <c r="AQ40" s="9">
        <v>1.0999999999999999E-2</v>
      </c>
      <c r="AR40" s="9">
        <v>1.2999999999999999E-2</v>
      </c>
      <c r="AS40" s="9">
        <v>1.4999999999999999E-2</v>
      </c>
      <c r="AT40" s="9">
        <v>24</v>
      </c>
      <c r="AU40" s="9">
        <v>28</v>
      </c>
      <c r="AV40" s="9" t="b">
        <v>1</v>
      </c>
      <c r="AW40" s="19"/>
      <c r="AX40" s="9" t="s">
        <v>229</v>
      </c>
      <c r="AY40" s="9">
        <v>119</v>
      </c>
      <c r="AZ40" s="9">
        <v>43</v>
      </c>
      <c r="BA40" s="9">
        <v>76</v>
      </c>
      <c r="BB40" s="9">
        <v>0.95</v>
      </c>
      <c r="BC40" s="9">
        <v>0.95</v>
      </c>
      <c r="BD40" s="19"/>
      <c r="BE40" s="19"/>
      <c r="BF40" s="19"/>
      <c r="BG40" s="19"/>
      <c r="BH40" s="9" t="s">
        <v>230</v>
      </c>
      <c r="BI40" s="9">
        <v>300</v>
      </c>
      <c r="BJ40" s="9">
        <v>4012</v>
      </c>
      <c r="BK40" s="9">
        <v>5516</v>
      </c>
      <c r="BL40" s="9">
        <v>0.42080973358506402</v>
      </c>
      <c r="BM40" s="19"/>
      <c r="BN40" s="19"/>
      <c r="BO40" s="19"/>
      <c r="BP40" s="19"/>
      <c r="BQ40" s="19"/>
      <c r="BR40" s="19"/>
      <c r="BS40" s="9" t="b">
        <v>1</v>
      </c>
      <c r="BT40" s="9">
        <v>4012</v>
      </c>
      <c r="BU40" s="9">
        <v>1403</v>
      </c>
      <c r="BV40" s="9">
        <v>21.946332931518601</v>
      </c>
      <c r="BW40" s="19"/>
      <c r="BX40" s="19"/>
      <c r="BY40" s="9">
        <v>22.050579786300698</v>
      </c>
      <c r="BZ40" s="9" t="s">
        <v>231</v>
      </c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9">
        <v>1703</v>
      </c>
      <c r="CP40" s="9">
        <v>193</v>
      </c>
      <c r="CQ40" s="9">
        <v>64</v>
      </c>
      <c r="CR40" s="9">
        <v>43</v>
      </c>
      <c r="CS40" s="9">
        <v>1403</v>
      </c>
      <c r="CT40" s="9">
        <v>8125</v>
      </c>
      <c r="CU40" s="9">
        <v>5329</v>
      </c>
      <c r="CV40" s="9">
        <v>111</v>
      </c>
      <c r="CW40" s="9">
        <v>76</v>
      </c>
      <c r="CX40" s="9">
        <v>2609</v>
      </c>
      <c r="CY40" s="9">
        <v>1703</v>
      </c>
      <c r="CZ40" s="9">
        <v>1372</v>
      </c>
      <c r="DA40" s="9">
        <v>625</v>
      </c>
      <c r="DB40" s="9">
        <v>1078</v>
      </c>
      <c r="DC40" s="9">
        <v>747</v>
      </c>
      <c r="DD40" s="9">
        <v>0.36699941280094001</v>
      </c>
      <c r="DE40" s="9">
        <v>0.45553935860058298</v>
      </c>
      <c r="DF40" s="9">
        <v>0.40650406504065001</v>
      </c>
    </row>
    <row r="41" spans="1:110" ht="16" customHeight="1" x14ac:dyDescent="0.2">
      <c r="A41" s="8" t="s">
        <v>41</v>
      </c>
      <c r="B41" s="9" t="s">
        <v>234</v>
      </c>
      <c r="C41" s="9" t="s">
        <v>227</v>
      </c>
      <c r="D41" s="9" t="s">
        <v>174</v>
      </c>
      <c r="E41" s="9" t="s">
        <v>228</v>
      </c>
      <c r="F41" s="9" t="s">
        <v>176</v>
      </c>
      <c r="G41" s="9">
        <v>0.5</v>
      </c>
      <c r="H41" s="9">
        <v>4</v>
      </c>
      <c r="I41" s="9" t="s">
        <v>177</v>
      </c>
      <c r="J41" s="9" t="s">
        <v>178</v>
      </c>
      <c r="K41" s="9" t="s">
        <v>179</v>
      </c>
      <c r="L41" s="9" t="s">
        <v>180</v>
      </c>
      <c r="M41" s="9">
        <v>1368</v>
      </c>
      <c r="N41" s="9">
        <v>0.413011695906433</v>
      </c>
      <c r="O41" s="9">
        <v>0.41180758017492702</v>
      </c>
      <c r="P41" s="20">
        <v>0.41240875912408798</v>
      </c>
      <c r="Q41" s="9">
        <v>19.14</v>
      </c>
      <c r="R41" s="9">
        <v>393</v>
      </c>
      <c r="S41" s="9">
        <v>3713</v>
      </c>
      <c r="T41" s="9">
        <v>970709</v>
      </c>
      <c r="U41" s="9">
        <v>7426</v>
      </c>
      <c r="V41" s="9">
        <v>978135</v>
      </c>
      <c r="W41" s="9">
        <v>124</v>
      </c>
      <c r="X41" s="9">
        <v>970709</v>
      </c>
      <c r="Y41" s="9">
        <v>7426</v>
      </c>
      <c r="Z41" s="9">
        <v>978135</v>
      </c>
      <c r="AA41" s="9">
        <v>9828</v>
      </c>
      <c r="AB41" s="9">
        <v>6508</v>
      </c>
      <c r="AC41" s="9">
        <v>3320</v>
      </c>
      <c r="AD41" s="9">
        <v>0.33781033781033798</v>
      </c>
      <c r="AE41" s="9">
        <v>6.7789999999999999</v>
      </c>
      <c r="AF41" s="9">
        <v>12.302</v>
      </c>
      <c r="AG41" s="9">
        <v>4.0000000000000001E-3</v>
      </c>
      <c r="AH41" s="9">
        <v>5.6000000000000001E-2</v>
      </c>
      <c r="AI41" s="9">
        <v>0.16300000000000001</v>
      </c>
      <c r="AJ41" s="9">
        <v>1.4E-2</v>
      </c>
      <c r="AK41" s="9">
        <v>0</v>
      </c>
      <c r="AL41" s="9">
        <v>2E-3</v>
      </c>
      <c r="AM41" s="9">
        <v>0</v>
      </c>
      <c r="AN41" s="9">
        <v>11.782</v>
      </c>
      <c r="AO41" s="9">
        <v>1.2999999999999999E-2</v>
      </c>
      <c r="AP41" s="9">
        <v>1.6E-2</v>
      </c>
      <c r="AQ41" s="9">
        <v>1.0999999999999999E-2</v>
      </c>
      <c r="AR41" s="9">
        <v>1.4E-2</v>
      </c>
      <c r="AS41" s="9">
        <v>1.4999999999999999E-2</v>
      </c>
      <c r="AT41" s="9">
        <v>25</v>
      </c>
      <c r="AU41" s="9">
        <v>27</v>
      </c>
      <c r="AV41" s="9" t="b">
        <v>1</v>
      </c>
      <c r="AW41" s="19"/>
      <c r="AX41" s="9" t="s">
        <v>229</v>
      </c>
      <c r="AY41" s="9">
        <v>156</v>
      </c>
      <c r="AZ41" s="9">
        <v>64</v>
      </c>
      <c r="BA41" s="9">
        <v>92</v>
      </c>
      <c r="BB41" s="9">
        <v>0.95</v>
      </c>
      <c r="BC41" s="9">
        <v>0.95</v>
      </c>
      <c r="BD41" s="19"/>
      <c r="BE41" s="19"/>
      <c r="BF41" s="19"/>
      <c r="BG41" s="19"/>
      <c r="BH41" s="9" t="s">
        <v>230</v>
      </c>
      <c r="BI41" s="9">
        <v>163</v>
      </c>
      <c r="BJ41" s="9">
        <v>3320</v>
      </c>
      <c r="BK41" s="9">
        <v>6345</v>
      </c>
      <c r="BL41" s="9">
        <v>0.351881293057764</v>
      </c>
      <c r="BM41" s="19"/>
      <c r="BN41" s="19"/>
      <c r="BO41" s="19"/>
      <c r="BP41" s="19"/>
      <c r="BQ41" s="19"/>
      <c r="BR41" s="19"/>
      <c r="BS41" s="9" t="b">
        <v>1</v>
      </c>
      <c r="BT41" s="9">
        <v>3320</v>
      </c>
      <c r="BU41" s="9">
        <v>1205</v>
      </c>
      <c r="BV41" s="9">
        <v>9.3036792278289795</v>
      </c>
      <c r="BW41" s="19"/>
      <c r="BX41" s="19"/>
      <c r="BY41" s="9">
        <v>9.4081318378448504</v>
      </c>
      <c r="BZ41" s="9" t="s">
        <v>231</v>
      </c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9">
        <v>1368</v>
      </c>
      <c r="CP41" s="9">
        <v>0</v>
      </c>
      <c r="CQ41" s="9">
        <v>99</v>
      </c>
      <c r="CR41" s="9">
        <v>64</v>
      </c>
      <c r="CS41" s="9">
        <v>1205</v>
      </c>
      <c r="CT41" s="9">
        <v>8460</v>
      </c>
      <c r="CU41" s="9">
        <v>6115</v>
      </c>
      <c r="CV41" s="9">
        <v>138</v>
      </c>
      <c r="CW41" s="9">
        <v>92</v>
      </c>
      <c r="CX41" s="9">
        <v>2115</v>
      </c>
      <c r="CY41" s="9">
        <v>1368</v>
      </c>
      <c r="CZ41" s="9">
        <v>1372</v>
      </c>
      <c r="DA41" s="9">
        <v>565</v>
      </c>
      <c r="DB41" s="9">
        <v>803</v>
      </c>
      <c r="DC41" s="9">
        <v>807</v>
      </c>
      <c r="DD41" s="9">
        <v>0.413011695906433</v>
      </c>
      <c r="DE41" s="9">
        <v>0.41180758017492702</v>
      </c>
      <c r="DF41" s="9">
        <v>0.41240875912408798</v>
      </c>
    </row>
    <row r="42" spans="1:110" ht="16" customHeight="1" x14ac:dyDescent="0.2">
      <c r="A42" s="8" t="s">
        <v>41</v>
      </c>
      <c r="B42" s="9" t="s">
        <v>235</v>
      </c>
      <c r="C42" s="9" t="s">
        <v>227</v>
      </c>
      <c r="D42" s="9" t="s">
        <v>174</v>
      </c>
      <c r="E42" s="9" t="s">
        <v>228</v>
      </c>
      <c r="F42" s="9" t="s">
        <v>176</v>
      </c>
      <c r="G42" s="9">
        <v>0.5</v>
      </c>
      <c r="H42" s="9">
        <v>5</v>
      </c>
      <c r="I42" s="9" t="s">
        <v>177</v>
      </c>
      <c r="J42" s="9" t="s">
        <v>178</v>
      </c>
      <c r="K42" s="9" t="s">
        <v>179</v>
      </c>
      <c r="L42" s="9" t="s">
        <v>180</v>
      </c>
      <c r="M42" s="9">
        <v>1501</v>
      </c>
      <c r="N42" s="9">
        <v>0.38041305796135899</v>
      </c>
      <c r="O42" s="9">
        <v>0.41618075801749299</v>
      </c>
      <c r="P42" s="20">
        <v>0.39749390880612601</v>
      </c>
      <c r="Q42" s="9">
        <v>28.79</v>
      </c>
      <c r="R42" s="9">
        <v>491</v>
      </c>
      <c r="S42" s="9">
        <v>3617</v>
      </c>
      <c r="T42" s="9">
        <v>968044</v>
      </c>
      <c r="U42" s="9">
        <v>7295</v>
      </c>
      <c r="V42" s="9">
        <v>975339</v>
      </c>
      <c r="W42" s="9">
        <v>118</v>
      </c>
      <c r="X42" s="9">
        <v>968044</v>
      </c>
      <c r="Y42" s="9">
        <v>7295</v>
      </c>
      <c r="Z42" s="9">
        <v>975339</v>
      </c>
      <c r="AA42" s="9">
        <v>9828</v>
      </c>
      <c r="AB42" s="9">
        <v>6702</v>
      </c>
      <c r="AC42" s="9">
        <v>3126</v>
      </c>
      <c r="AD42" s="9">
        <v>0.318070818070818</v>
      </c>
      <c r="AE42" s="9">
        <v>7.1879999999999997</v>
      </c>
      <c r="AF42" s="9">
        <v>21.556999999999999</v>
      </c>
      <c r="AG42" s="9">
        <v>3.0000000000000001E-3</v>
      </c>
      <c r="AH42" s="9">
        <v>4.7E-2</v>
      </c>
      <c r="AI42" s="9">
        <v>0.13800000000000001</v>
      </c>
      <c r="AJ42" s="9">
        <v>1.4E-2</v>
      </c>
      <c r="AK42" s="9">
        <v>0</v>
      </c>
      <c r="AL42" s="9">
        <v>2E-3</v>
      </c>
      <c r="AM42" s="9">
        <v>0</v>
      </c>
      <c r="AN42" s="9">
        <v>21.125</v>
      </c>
      <c r="AO42" s="9">
        <v>1.2999999999999999E-2</v>
      </c>
      <c r="AP42" s="9">
        <v>1.4E-2</v>
      </c>
      <c r="AQ42" s="9">
        <v>0.01</v>
      </c>
      <c r="AR42" s="9">
        <v>1.0999999999999999E-2</v>
      </c>
      <c r="AS42" s="9">
        <v>1.2E-2</v>
      </c>
      <c r="AT42" s="9">
        <v>25</v>
      </c>
      <c r="AU42" s="9">
        <v>27</v>
      </c>
      <c r="AV42" s="9" t="b">
        <v>1</v>
      </c>
      <c r="AW42" s="19"/>
      <c r="AX42" s="9" t="s">
        <v>229</v>
      </c>
      <c r="AY42" s="9">
        <v>197</v>
      </c>
      <c r="AZ42" s="9">
        <v>70</v>
      </c>
      <c r="BA42" s="9">
        <v>127</v>
      </c>
      <c r="BB42" s="9">
        <v>0.95</v>
      </c>
      <c r="BC42" s="9">
        <v>0.95</v>
      </c>
      <c r="BD42" s="19"/>
      <c r="BE42" s="19"/>
      <c r="BF42" s="19"/>
      <c r="BG42" s="19"/>
      <c r="BH42" s="9" t="s">
        <v>230</v>
      </c>
      <c r="BI42" s="9">
        <v>173</v>
      </c>
      <c r="BJ42" s="9">
        <v>3126</v>
      </c>
      <c r="BK42" s="9">
        <v>6529</v>
      </c>
      <c r="BL42" s="9">
        <v>0.33479704401842098</v>
      </c>
      <c r="BM42" s="19"/>
      <c r="BN42" s="19"/>
      <c r="BO42" s="19"/>
      <c r="BP42" s="19"/>
      <c r="BQ42" s="19"/>
      <c r="BR42" s="19"/>
      <c r="BS42" s="9" t="b">
        <v>1</v>
      </c>
      <c r="BT42" s="9">
        <v>3126</v>
      </c>
      <c r="BU42" s="9">
        <v>1328</v>
      </c>
      <c r="BV42" s="9">
        <v>18.611921310424801</v>
      </c>
      <c r="BW42" s="19"/>
      <c r="BX42" s="19"/>
      <c r="BY42" s="9">
        <v>18.682015657424898</v>
      </c>
      <c r="BZ42" s="9" t="s">
        <v>231</v>
      </c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9">
        <v>1501</v>
      </c>
      <c r="CP42" s="9">
        <v>0</v>
      </c>
      <c r="CQ42" s="9">
        <v>103</v>
      </c>
      <c r="CR42" s="9">
        <v>70</v>
      </c>
      <c r="CS42" s="9">
        <v>1328</v>
      </c>
      <c r="CT42" s="9">
        <v>8327</v>
      </c>
      <c r="CU42" s="9">
        <v>6211</v>
      </c>
      <c r="CV42" s="9">
        <v>191</v>
      </c>
      <c r="CW42" s="9">
        <v>127</v>
      </c>
      <c r="CX42" s="9">
        <v>1798</v>
      </c>
      <c r="CY42" s="9">
        <v>1501</v>
      </c>
      <c r="CZ42" s="9">
        <v>1372</v>
      </c>
      <c r="DA42" s="9">
        <v>571</v>
      </c>
      <c r="DB42" s="9">
        <v>930</v>
      </c>
      <c r="DC42" s="9">
        <v>801</v>
      </c>
      <c r="DD42" s="9">
        <v>0.38041305796135899</v>
      </c>
      <c r="DE42" s="9">
        <v>0.41618075801749299</v>
      </c>
      <c r="DF42" s="9">
        <v>0.39749390880612601</v>
      </c>
    </row>
    <row r="43" spans="1:110" ht="16" customHeight="1" x14ac:dyDescent="0.2">
      <c r="A43" s="8" t="s">
        <v>41</v>
      </c>
      <c r="B43" s="9" t="s">
        <v>236</v>
      </c>
      <c r="C43" s="9" t="s">
        <v>227</v>
      </c>
      <c r="D43" s="9" t="s">
        <v>174</v>
      </c>
      <c r="E43" s="9" t="s">
        <v>228</v>
      </c>
      <c r="F43" s="9" t="s">
        <v>176</v>
      </c>
      <c r="G43" s="9">
        <v>0.5</v>
      </c>
      <c r="H43" s="9">
        <v>6</v>
      </c>
      <c r="I43" s="9" t="s">
        <v>177</v>
      </c>
      <c r="J43" s="9" t="s">
        <v>178</v>
      </c>
      <c r="K43" s="9" t="s">
        <v>179</v>
      </c>
      <c r="L43" s="9" t="s">
        <v>180</v>
      </c>
      <c r="M43" s="9">
        <v>1778</v>
      </c>
      <c r="N43" s="9">
        <v>0.42463442069741297</v>
      </c>
      <c r="O43" s="9">
        <v>0.55029154518950396</v>
      </c>
      <c r="P43" s="20">
        <v>0.47936507936507899</v>
      </c>
      <c r="Q43" s="9">
        <v>24.8</v>
      </c>
      <c r="R43" s="9">
        <v>589</v>
      </c>
      <c r="S43" s="9">
        <v>3676</v>
      </c>
      <c r="T43" s="9">
        <v>947304</v>
      </c>
      <c r="U43" s="9">
        <v>7352</v>
      </c>
      <c r="V43" s="9">
        <v>954656</v>
      </c>
      <c r="W43" s="9">
        <v>117</v>
      </c>
      <c r="X43" s="9">
        <v>947304</v>
      </c>
      <c r="Y43" s="9">
        <v>7352</v>
      </c>
      <c r="Z43" s="9">
        <v>954656</v>
      </c>
      <c r="AA43" s="9">
        <v>9828</v>
      </c>
      <c r="AB43" s="9">
        <v>6741</v>
      </c>
      <c r="AC43" s="9">
        <v>3087</v>
      </c>
      <c r="AD43" s="9">
        <v>0.31410256410256399</v>
      </c>
      <c r="AE43" s="9">
        <v>6.9470000000000001</v>
      </c>
      <c r="AF43" s="9">
        <v>17.797999999999998</v>
      </c>
      <c r="AG43" s="9">
        <v>4.0000000000000001E-3</v>
      </c>
      <c r="AH43" s="9">
        <v>4.7E-2</v>
      </c>
      <c r="AI43" s="9">
        <v>0.13300000000000001</v>
      </c>
      <c r="AJ43" s="9">
        <v>1.2999999999999999E-2</v>
      </c>
      <c r="AK43" s="9">
        <v>0</v>
      </c>
      <c r="AL43" s="9">
        <v>2E-3</v>
      </c>
      <c r="AM43" s="9">
        <v>0</v>
      </c>
      <c r="AN43" s="9">
        <v>17.352</v>
      </c>
      <c r="AO43" s="9">
        <v>1.2E-2</v>
      </c>
      <c r="AP43" s="9">
        <v>1.4E-2</v>
      </c>
      <c r="AQ43" s="9">
        <v>0.01</v>
      </c>
      <c r="AR43" s="9">
        <v>1.0999999999999999E-2</v>
      </c>
      <c r="AS43" s="9">
        <v>1.2E-2</v>
      </c>
      <c r="AT43" s="9">
        <v>24</v>
      </c>
      <c r="AU43" s="9">
        <v>26</v>
      </c>
      <c r="AV43" s="9" t="b">
        <v>1</v>
      </c>
      <c r="AW43" s="19"/>
      <c r="AX43" s="9" t="s">
        <v>229</v>
      </c>
      <c r="AY43" s="9">
        <v>236</v>
      </c>
      <c r="AZ43" s="9">
        <v>91</v>
      </c>
      <c r="BA43" s="9">
        <v>145</v>
      </c>
      <c r="BB43" s="9">
        <v>0.95</v>
      </c>
      <c r="BC43" s="9">
        <v>0.95</v>
      </c>
      <c r="BD43" s="19"/>
      <c r="BE43" s="19"/>
      <c r="BF43" s="19"/>
      <c r="BG43" s="19"/>
      <c r="BH43" s="9" t="s">
        <v>230</v>
      </c>
      <c r="BI43" s="9">
        <v>228</v>
      </c>
      <c r="BJ43" s="9">
        <v>3087</v>
      </c>
      <c r="BK43" s="9">
        <v>6513</v>
      </c>
      <c r="BL43" s="9">
        <v>0.33412707002922398</v>
      </c>
      <c r="BM43" s="19"/>
      <c r="BN43" s="19"/>
      <c r="BO43" s="19"/>
      <c r="BP43" s="19"/>
      <c r="BQ43" s="19"/>
      <c r="BR43" s="19"/>
      <c r="BS43" s="9" t="b">
        <v>1</v>
      </c>
      <c r="BT43" s="9">
        <v>3087</v>
      </c>
      <c r="BU43" s="9">
        <v>1550</v>
      </c>
      <c r="BV43" s="9">
        <v>14.318661928176899</v>
      </c>
      <c r="BW43" s="19"/>
      <c r="BX43" s="19"/>
      <c r="BY43" s="9">
        <v>14.3884310722351</v>
      </c>
      <c r="BZ43" s="9" t="s">
        <v>231</v>
      </c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9">
        <v>1778</v>
      </c>
      <c r="CP43" s="9">
        <v>0</v>
      </c>
      <c r="CQ43" s="9">
        <v>137</v>
      </c>
      <c r="CR43" s="9">
        <v>91</v>
      </c>
      <c r="CS43" s="9">
        <v>1550</v>
      </c>
      <c r="CT43" s="9">
        <v>8050</v>
      </c>
      <c r="CU43" s="9">
        <v>6152</v>
      </c>
      <c r="CV43" s="9">
        <v>216</v>
      </c>
      <c r="CW43" s="9">
        <v>145</v>
      </c>
      <c r="CX43" s="9">
        <v>1537</v>
      </c>
      <c r="CY43" s="9">
        <v>1778</v>
      </c>
      <c r="CZ43" s="9">
        <v>1372</v>
      </c>
      <c r="DA43" s="9">
        <v>755</v>
      </c>
      <c r="DB43" s="9">
        <v>1023</v>
      </c>
      <c r="DC43" s="9">
        <v>617</v>
      </c>
      <c r="DD43" s="9">
        <v>0.42463442069741297</v>
      </c>
      <c r="DE43" s="9">
        <v>0.55029154518950396</v>
      </c>
      <c r="DF43" s="9">
        <v>0.47936507936507899</v>
      </c>
    </row>
    <row r="44" spans="1:110" ht="16" customHeight="1" x14ac:dyDescent="0.2">
      <c r="A44" s="8" t="s">
        <v>41</v>
      </c>
      <c r="B44" s="9" t="s">
        <v>237</v>
      </c>
      <c r="C44" s="9" t="s">
        <v>227</v>
      </c>
      <c r="D44" s="9" t="s">
        <v>174</v>
      </c>
      <c r="E44" s="9" t="s">
        <v>228</v>
      </c>
      <c r="F44" s="9" t="s">
        <v>176</v>
      </c>
      <c r="G44" s="9">
        <v>0.5</v>
      </c>
      <c r="H44" s="9">
        <v>7</v>
      </c>
      <c r="I44" s="9" t="s">
        <v>177</v>
      </c>
      <c r="J44" s="9" t="s">
        <v>178</v>
      </c>
      <c r="K44" s="9" t="s">
        <v>179</v>
      </c>
      <c r="L44" s="9" t="s">
        <v>180</v>
      </c>
      <c r="M44" s="9">
        <v>2041</v>
      </c>
      <c r="N44" s="9">
        <v>0.42920137187653101</v>
      </c>
      <c r="O44" s="9">
        <v>0.63848396501457705</v>
      </c>
      <c r="P44" s="20">
        <v>0.51333138001758005</v>
      </c>
      <c r="Q44" s="9">
        <v>24.2</v>
      </c>
      <c r="R44" s="9">
        <v>687</v>
      </c>
      <c r="S44" s="9">
        <v>4380</v>
      </c>
      <c r="T44" s="9">
        <v>1116978</v>
      </c>
      <c r="U44" s="9">
        <v>8760</v>
      </c>
      <c r="V44" s="9">
        <v>1125738</v>
      </c>
      <c r="W44" s="9">
        <v>146</v>
      </c>
      <c r="X44" s="9">
        <v>1116978</v>
      </c>
      <c r="Y44" s="9">
        <v>8760</v>
      </c>
      <c r="Z44" s="9">
        <v>1125738</v>
      </c>
      <c r="AA44" s="9">
        <v>9828</v>
      </c>
      <c r="AB44" s="9">
        <v>6135</v>
      </c>
      <c r="AC44" s="9">
        <v>3693</v>
      </c>
      <c r="AD44" s="9">
        <v>0.37576312576312598</v>
      </c>
      <c r="AE44" s="9">
        <v>6.6589999999999998</v>
      </c>
      <c r="AF44" s="9">
        <v>17.477</v>
      </c>
      <c r="AG44" s="9">
        <v>5.0000000000000001E-3</v>
      </c>
      <c r="AH44" s="9">
        <v>5.5E-2</v>
      </c>
      <c r="AI44" s="9">
        <v>0.153</v>
      </c>
      <c r="AJ44" s="9">
        <v>1.4E-2</v>
      </c>
      <c r="AK44" s="9">
        <v>0</v>
      </c>
      <c r="AL44" s="9">
        <v>2E-3</v>
      </c>
      <c r="AM44" s="9">
        <v>0</v>
      </c>
      <c r="AN44" s="9">
        <v>16.989999999999998</v>
      </c>
      <c r="AO44" s="9">
        <v>1.2E-2</v>
      </c>
      <c r="AP44" s="9">
        <v>1.6E-2</v>
      </c>
      <c r="AQ44" s="9">
        <v>1.0999999999999999E-2</v>
      </c>
      <c r="AR44" s="9">
        <v>1.4E-2</v>
      </c>
      <c r="AS44" s="9">
        <v>1.4E-2</v>
      </c>
      <c r="AT44" s="9">
        <v>25</v>
      </c>
      <c r="AU44" s="9">
        <v>26</v>
      </c>
      <c r="AV44" s="9" t="b">
        <v>1</v>
      </c>
      <c r="AW44" s="19"/>
      <c r="AX44" s="9" t="s">
        <v>229</v>
      </c>
      <c r="AY44" s="9">
        <v>276</v>
      </c>
      <c r="AZ44" s="9">
        <v>103</v>
      </c>
      <c r="BA44" s="9">
        <v>173</v>
      </c>
      <c r="BB44" s="9">
        <v>0.95</v>
      </c>
      <c r="BC44" s="9">
        <v>0.95</v>
      </c>
      <c r="BD44" s="19"/>
      <c r="BE44" s="19"/>
      <c r="BF44" s="19"/>
      <c r="BG44" s="19"/>
      <c r="BH44" s="9" t="s">
        <v>230</v>
      </c>
      <c r="BI44" s="9">
        <v>255</v>
      </c>
      <c r="BJ44" s="9">
        <v>3693</v>
      </c>
      <c r="BK44" s="9">
        <v>5880</v>
      </c>
      <c r="BL44" s="9">
        <v>0.404003938299967</v>
      </c>
      <c r="BM44" s="19"/>
      <c r="BN44" s="19"/>
      <c r="BO44" s="19"/>
      <c r="BP44" s="19"/>
      <c r="BQ44" s="19"/>
      <c r="BR44" s="19"/>
      <c r="BS44" s="9" t="b">
        <v>1</v>
      </c>
      <c r="BT44" s="9">
        <v>3693</v>
      </c>
      <c r="BU44" s="9">
        <v>1786</v>
      </c>
      <c r="BV44" s="9">
        <v>13.7518866062164</v>
      </c>
      <c r="BW44" s="19"/>
      <c r="BX44" s="19"/>
      <c r="BY44" s="9">
        <v>13.8557617664337</v>
      </c>
      <c r="BZ44" s="9" t="s">
        <v>231</v>
      </c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9">
        <v>2041</v>
      </c>
      <c r="CP44" s="9">
        <v>0</v>
      </c>
      <c r="CQ44" s="9">
        <v>152</v>
      </c>
      <c r="CR44" s="9">
        <v>103</v>
      </c>
      <c r="CS44" s="9">
        <v>1786</v>
      </c>
      <c r="CT44" s="9">
        <v>7787</v>
      </c>
      <c r="CU44" s="9">
        <v>5448</v>
      </c>
      <c r="CV44" s="9">
        <v>259</v>
      </c>
      <c r="CW44" s="9">
        <v>173</v>
      </c>
      <c r="CX44" s="9">
        <v>1907</v>
      </c>
      <c r="CY44" s="9">
        <v>2041</v>
      </c>
      <c r="CZ44" s="9">
        <v>1372</v>
      </c>
      <c r="DA44" s="9">
        <v>876</v>
      </c>
      <c r="DB44" s="9">
        <v>1165</v>
      </c>
      <c r="DC44" s="9">
        <v>496</v>
      </c>
      <c r="DD44" s="9">
        <v>0.42920137187653101</v>
      </c>
      <c r="DE44" s="9">
        <v>0.63848396501457705</v>
      </c>
      <c r="DF44" s="9">
        <v>0.51333138001758005</v>
      </c>
    </row>
    <row r="45" spans="1:110" s="4" customFormat="1" ht="16" customHeight="1" x14ac:dyDescent="0.2">
      <c r="A45" s="21" t="s">
        <v>41</v>
      </c>
      <c r="B45" s="20" t="s">
        <v>238</v>
      </c>
      <c r="C45" s="20" t="s">
        <v>227</v>
      </c>
      <c r="D45" s="20" t="s">
        <v>174</v>
      </c>
      <c r="E45" s="20" t="s">
        <v>228</v>
      </c>
      <c r="F45" s="20" t="s">
        <v>176</v>
      </c>
      <c r="G45" s="20">
        <v>0.5</v>
      </c>
      <c r="H45" s="20">
        <v>8</v>
      </c>
      <c r="I45" s="20" t="s">
        <v>177</v>
      </c>
      <c r="J45" s="20" t="s">
        <v>178</v>
      </c>
      <c r="K45" s="20" t="s">
        <v>179</v>
      </c>
      <c r="L45" s="20" t="s">
        <v>180</v>
      </c>
      <c r="M45" s="20">
        <v>1961</v>
      </c>
      <c r="N45" s="20">
        <v>0.44365119836818001</v>
      </c>
      <c r="O45" s="20">
        <v>0.63411078717201197</v>
      </c>
      <c r="P45" s="20">
        <v>0.52205220522052198</v>
      </c>
      <c r="Q45" s="20">
        <v>22.7</v>
      </c>
      <c r="R45" s="20">
        <v>786</v>
      </c>
      <c r="S45" s="20">
        <v>4068</v>
      </c>
      <c r="T45" s="20">
        <v>1069720</v>
      </c>
      <c r="U45" s="20">
        <v>8136</v>
      </c>
      <c r="V45" s="20">
        <v>1077856</v>
      </c>
      <c r="W45" s="20">
        <v>133</v>
      </c>
      <c r="X45" s="20">
        <v>1069720</v>
      </c>
      <c r="Y45" s="20">
        <v>8136</v>
      </c>
      <c r="Z45" s="20">
        <v>1077856</v>
      </c>
      <c r="AA45" s="20">
        <v>9828</v>
      </c>
      <c r="AB45" s="20">
        <v>6546</v>
      </c>
      <c r="AC45" s="20">
        <v>3282</v>
      </c>
      <c r="AD45" s="20">
        <v>0.33394383394383398</v>
      </c>
      <c r="AE45" s="20">
        <v>7.4859999999999998</v>
      </c>
      <c r="AF45" s="20">
        <v>15.16</v>
      </c>
      <c r="AG45" s="20">
        <v>4.0000000000000001E-3</v>
      </c>
      <c r="AH45" s="20">
        <v>4.5999999999999999E-2</v>
      </c>
      <c r="AI45" s="20">
        <v>0.126</v>
      </c>
      <c r="AJ45" s="20">
        <v>1.2999999999999999E-2</v>
      </c>
      <c r="AK45" s="20">
        <v>0</v>
      </c>
      <c r="AL45" s="20">
        <v>2E-3</v>
      </c>
      <c r="AM45" s="20">
        <v>0</v>
      </c>
      <c r="AN45" s="20">
        <v>14.747</v>
      </c>
      <c r="AO45" s="20">
        <v>1.0999999999999999E-2</v>
      </c>
      <c r="AP45" s="20">
        <v>1.4E-2</v>
      </c>
      <c r="AQ45" s="20">
        <v>0.01</v>
      </c>
      <c r="AR45" s="20">
        <v>1.0999999999999999E-2</v>
      </c>
      <c r="AS45" s="20">
        <v>1.2E-2</v>
      </c>
      <c r="AT45" s="20">
        <v>24</v>
      </c>
      <c r="AU45" s="20">
        <v>26</v>
      </c>
      <c r="AV45" s="20" t="b">
        <v>1</v>
      </c>
      <c r="AW45" s="22"/>
      <c r="AX45" s="20" t="s">
        <v>229</v>
      </c>
      <c r="AY45" s="20">
        <v>315</v>
      </c>
      <c r="AZ45" s="20">
        <v>112</v>
      </c>
      <c r="BA45" s="20">
        <v>203</v>
      </c>
      <c r="BB45" s="20">
        <v>0.95</v>
      </c>
      <c r="BC45" s="20">
        <v>0.95</v>
      </c>
      <c r="BD45" s="22"/>
      <c r="BE45" s="22"/>
      <c r="BF45" s="22"/>
      <c r="BG45" s="22"/>
      <c r="BH45" s="20" t="s">
        <v>230</v>
      </c>
      <c r="BI45" s="20">
        <v>279</v>
      </c>
      <c r="BJ45" s="20">
        <v>3282</v>
      </c>
      <c r="BK45" s="20">
        <v>6267</v>
      </c>
      <c r="BL45" s="20">
        <v>0.36297279362972801</v>
      </c>
      <c r="BM45" s="22"/>
      <c r="BN45" s="22"/>
      <c r="BO45" s="22"/>
      <c r="BP45" s="22"/>
      <c r="BQ45" s="22"/>
      <c r="BR45" s="22"/>
      <c r="BS45" s="20" t="b">
        <v>1</v>
      </c>
      <c r="BT45" s="20">
        <v>3282</v>
      </c>
      <c r="BU45" s="20">
        <v>1682</v>
      </c>
      <c r="BV45" s="20">
        <v>10.858849525451699</v>
      </c>
      <c r="BW45" s="22"/>
      <c r="BX45" s="22"/>
      <c r="BY45" s="20">
        <v>10.928826808929401</v>
      </c>
      <c r="BZ45" s="20" t="s">
        <v>231</v>
      </c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0">
        <v>1961</v>
      </c>
      <c r="CP45" s="20">
        <v>0</v>
      </c>
      <c r="CQ45" s="20">
        <v>167</v>
      </c>
      <c r="CR45" s="20">
        <v>112</v>
      </c>
      <c r="CS45" s="20">
        <v>1682</v>
      </c>
      <c r="CT45" s="20">
        <v>7867</v>
      </c>
      <c r="CU45" s="20">
        <v>5760</v>
      </c>
      <c r="CV45" s="20">
        <v>304</v>
      </c>
      <c r="CW45" s="20">
        <v>203</v>
      </c>
      <c r="CX45" s="20">
        <v>1600</v>
      </c>
      <c r="CY45" s="20">
        <v>1961</v>
      </c>
      <c r="CZ45" s="20">
        <v>1372</v>
      </c>
      <c r="DA45" s="20">
        <v>870</v>
      </c>
      <c r="DB45" s="20">
        <v>1091</v>
      </c>
      <c r="DC45" s="20">
        <v>502</v>
      </c>
      <c r="DD45" s="20">
        <v>0.44365119836818001</v>
      </c>
      <c r="DE45" s="20">
        <v>0.63411078717201197</v>
      </c>
      <c r="DF45" s="20">
        <v>0.52205220522052198</v>
      </c>
    </row>
    <row r="46" spans="1:110" ht="16" customHeight="1" x14ac:dyDescent="0.2">
      <c r="A46" s="8" t="s">
        <v>41</v>
      </c>
      <c r="B46" s="9" t="s">
        <v>239</v>
      </c>
      <c r="C46" s="9" t="s">
        <v>227</v>
      </c>
      <c r="D46" s="9" t="s">
        <v>174</v>
      </c>
      <c r="E46" s="9" t="s">
        <v>228</v>
      </c>
      <c r="F46" s="9" t="s">
        <v>176</v>
      </c>
      <c r="G46" s="9">
        <v>0.5</v>
      </c>
      <c r="H46" s="9">
        <v>9</v>
      </c>
      <c r="I46" s="9" t="s">
        <v>177</v>
      </c>
      <c r="J46" s="9" t="s">
        <v>178</v>
      </c>
      <c r="K46" s="9" t="s">
        <v>179</v>
      </c>
      <c r="L46" s="9" t="s">
        <v>180</v>
      </c>
      <c r="M46" s="9">
        <v>1859</v>
      </c>
      <c r="N46" s="9">
        <v>0.43195266272189398</v>
      </c>
      <c r="O46" s="9">
        <v>0.58527696793002904</v>
      </c>
      <c r="P46" s="20">
        <v>0.49705973382853602</v>
      </c>
      <c r="Q46" s="9">
        <v>23.91</v>
      </c>
      <c r="R46" s="9">
        <v>884</v>
      </c>
      <c r="S46" s="9">
        <v>3762</v>
      </c>
      <c r="T46" s="9">
        <v>1001574</v>
      </c>
      <c r="U46" s="9">
        <v>7524</v>
      </c>
      <c r="V46" s="9">
        <v>1009098</v>
      </c>
      <c r="W46" s="9">
        <v>120</v>
      </c>
      <c r="X46" s="9">
        <v>1001574</v>
      </c>
      <c r="Y46" s="9">
        <v>7524</v>
      </c>
      <c r="Z46" s="9">
        <v>1009098</v>
      </c>
      <c r="AA46" s="9">
        <v>9828</v>
      </c>
      <c r="AB46" s="9">
        <v>6950</v>
      </c>
      <c r="AC46" s="9">
        <v>2878</v>
      </c>
      <c r="AD46" s="9">
        <v>0.29283679283679298</v>
      </c>
      <c r="AE46" s="9">
        <v>7.4850000000000003</v>
      </c>
      <c r="AF46" s="9">
        <v>16.378</v>
      </c>
      <c r="AG46" s="9">
        <v>4.0000000000000001E-3</v>
      </c>
      <c r="AH46" s="9">
        <v>4.8000000000000001E-2</v>
      </c>
      <c r="AI46" s="9">
        <v>0.13900000000000001</v>
      </c>
      <c r="AJ46" s="9">
        <v>1.2999999999999999E-2</v>
      </c>
      <c r="AK46" s="9">
        <v>0</v>
      </c>
      <c r="AL46" s="9">
        <v>2E-3</v>
      </c>
      <c r="AM46" s="9">
        <v>0</v>
      </c>
      <c r="AN46" s="9">
        <v>15.943</v>
      </c>
      <c r="AO46" s="9">
        <v>1.2E-2</v>
      </c>
      <c r="AP46" s="9">
        <v>1.4999999999999999E-2</v>
      </c>
      <c r="AQ46" s="9">
        <v>0.01</v>
      </c>
      <c r="AR46" s="9">
        <v>1.0999999999999999E-2</v>
      </c>
      <c r="AS46" s="9">
        <v>1.0999999999999999E-2</v>
      </c>
      <c r="AT46" s="9">
        <v>24</v>
      </c>
      <c r="AU46" s="9">
        <v>25</v>
      </c>
      <c r="AV46" s="9" t="b">
        <v>1</v>
      </c>
      <c r="AW46" s="19"/>
      <c r="AX46" s="9" t="s">
        <v>229</v>
      </c>
      <c r="AY46" s="9">
        <v>353</v>
      </c>
      <c r="AZ46" s="9">
        <v>139</v>
      </c>
      <c r="BA46" s="9">
        <v>214</v>
      </c>
      <c r="BB46" s="9">
        <v>0.95</v>
      </c>
      <c r="BC46" s="9">
        <v>0.95</v>
      </c>
      <c r="BD46" s="19"/>
      <c r="BE46" s="19"/>
      <c r="BF46" s="19"/>
      <c r="BG46" s="19"/>
      <c r="BH46" s="9" t="s">
        <v>230</v>
      </c>
      <c r="BI46" s="9">
        <v>346</v>
      </c>
      <c r="BJ46" s="9">
        <v>2878</v>
      </c>
      <c r="BK46" s="9">
        <v>6604</v>
      </c>
      <c r="BL46" s="9">
        <v>0.32177996422182498</v>
      </c>
      <c r="BM46" s="19"/>
      <c r="BN46" s="19"/>
      <c r="BO46" s="19"/>
      <c r="BP46" s="19"/>
      <c r="BQ46" s="19"/>
      <c r="BR46" s="19"/>
      <c r="BS46" s="9" t="b">
        <v>1</v>
      </c>
      <c r="BT46" s="9">
        <v>2878</v>
      </c>
      <c r="BU46" s="9">
        <v>1513</v>
      </c>
      <c r="BV46" s="9">
        <v>11.1662244796753</v>
      </c>
      <c r="BW46" s="19"/>
      <c r="BX46" s="19"/>
      <c r="BY46" s="9">
        <v>11.2371363639832</v>
      </c>
      <c r="BZ46" s="9" t="s">
        <v>231</v>
      </c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9">
        <v>1859</v>
      </c>
      <c r="CP46" s="9">
        <v>0</v>
      </c>
      <c r="CQ46" s="9">
        <v>207</v>
      </c>
      <c r="CR46" s="9">
        <v>139</v>
      </c>
      <c r="CS46" s="9">
        <v>1513</v>
      </c>
      <c r="CT46" s="9">
        <v>7969</v>
      </c>
      <c r="CU46" s="9">
        <v>6066</v>
      </c>
      <c r="CV46" s="9">
        <v>324</v>
      </c>
      <c r="CW46" s="9">
        <v>214</v>
      </c>
      <c r="CX46" s="9">
        <v>1365</v>
      </c>
      <c r="CY46" s="9">
        <v>1859</v>
      </c>
      <c r="CZ46" s="9">
        <v>1372</v>
      </c>
      <c r="DA46" s="9">
        <v>803</v>
      </c>
      <c r="DB46" s="9">
        <v>1056</v>
      </c>
      <c r="DC46" s="9">
        <v>569</v>
      </c>
      <c r="DD46" s="9">
        <v>0.43195266272189398</v>
      </c>
      <c r="DE46" s="9">
        <v>0.58527696793002904</v>
      </c>
      <c r="DF46" s="9">
        <v>0.49705973382853602</v>
      </c>
    </row>
    <row r="47" spans="1:110" ht="16" customHeight="1" x14ac:dyDescent="0.2">
      <c r="A47" s="8" t="s">
        <v>41</v>
      </c>
      <c r="B47" s="9" t="s">
        <v>240</v>
      </c>
      <c r="C47" s="9" t="s">
        <v>227</v>
      </c>
      <c r="D47" s="9" t="s">
        <v>174</v>
      </c>
      <c r="E47" s="9" t="s">
        <v>228</v>
      </c>
      <c r="F47" s="9" t="s">
        <v>176</v>
      </c>
      <c r="G47" s="9">
        <v>0.5</v>
      </c>
      <c r="H47" s="9">
        <v>10</v>
      </c>
      <c r="I47" s="9" t="s">
        <v>177</v>
      </c>
      <c r="J47" s="9" t="s">
        <v>178</v>
      </c>
      <c r="K47" s="9" t="s">
        <v>179</v>
      </c>
      <c r="L47" s="9" t="s">
        <v>180</v>
      </c>
      <c r="M47" s="9">
        <v>1723</v>
      </c>
      <c r="N47" s="9">
        <v>0.44167150319210702</v>
      </c>
      <c r="O47" s="9">
        <v>0.55466472303207004</v>
      </c>
      <c r="P47" s="20">
        <v>0.49176090468497602</v>
      </c>
      <c r="Q47" s="9">
        <v>24.1</v>
      </c>
      <c r="R47" s="9">
        <v>982</v>
      </c>
      <c r="S47" s="9">
        <v>3619</v>
      </c>
      <c r="T47" s="9">
        <v>967944</v>
      </c>
      <c r="U47" s="9">
        <v>7300</v>
      </c>
      <c r="V47" s="9">
        <v>975244</v>
      </c>
      <c r="W47" s="9">
        <v>123</v>
      </c>
      <c r="X47" s="9">
        <v>967944</v>
      </c>
      <c r="Y47" s="9">
        <v>7300</v>
      </c>
      <c r="Z47" s="9">
        <v>975244</v>
      </c>
      <c r="AA47" s="9">
        <v>9828</v>
      </c>
      <c r="AB47" s="9">
        <v>7191</v>
      </c>
      <c r="AC47" s="9">
        <v>2637</v>
      </c>
      <c r="AD47" s="9">
        <v>0.26831501831501797</v>
      </c>
      <c r="AE47" s="9">
        <v>7.5439999999999996</v>
      </c>
      <c r="AF47" s="9">
        <v>16.497</v>
      </c>
      <c r="AG47" s="9">
        <v>5.0000000000000001E-3</v>
      </c>
      <c r="AH47" s="9">
        <v>5.5E-2</v>
      </c>
      <c r="AI47" s="9">
        <v>0.14299999999999999</v>
      </c>
      <c r="AJ47" s="9">
        <v>1.2999999999999999E-2</v>
      </c>
      <c r="AK47" s="9">
        <v>0</v>
      </c>
      <c r="AL47" s="9">
        <v>2E-3</v>
      </c>
      <c r="AM47" s="9">
        <v>0</v>
      </c>
      <c r="AN47" s="9">
        <v>16.027000000000001</v>
      </c>
      <c r="AO47" s="9">
        <v>1.0999999999999999E-2</v>
      </c>
      <c r="AP47" s="9">
        <v>1.6E-2</v>
      </c>
      <c r="AQ47" s="9">
        <v>1.0999999999999999E-2</v>
      </c>
      <c r="AR47" s="9">
        <v>1.4E-2</v>
      </c>
      <c r="AS47" s="9">
        <v>1.2999999999999999E-2</v>
      </c>
      <c r="AT47" s="9">
        <v>25</v>
      </c>
      <c r="AU47" s="9">
        <v>25</v>
      </c>
      <c r="AV47" s="9" t="b">
        <v>1</v>
      </c>
      <c r="AW47" s="19"/>
      <c r="AX47" s="9" t="s">
        <v>229</v>
      </c>
      <c r="AY47" s="9">
        <v>394</v>
      </c>
      <c r="AZ47" s="9">
        <v>155</v>
      </c>
      <c r="BA47" s="9">
        <v>239</v>
      </c>
      <c r="BB47" s="9">
        <v>0.95</v>
      </c>
      <c r="BC47" s="9">
        <v>0.95</v>
      </c>
      <c r="BD47" s="19"/>
      <c r="BE47" s="19"/>
      <c r="BF47" s="19"/>
      <c r="BG47" s="19"/>
      <c r="BH47" s="9" t="s">
        <v>230</v>
      </c>
      <c r="BI47" s="9">
        <v>387</v>
      </c>
      <c r="BJ47" s="9">
        <v>2637</v>
      </c>
      <c r="BK47" s="9">
        <v>6804</v>
      </c>
      <c r="BL47" s="9">
        <v>0.29810083653628799</v>
      </c>
      <c r="BM47" s="19"/>
      <c r="BN47" s="19"/>
      <c r="BO47" s="19"/>
      <c r="BP47" s="19"/>
      <c r="BQ47" s="19"/>
      <c r="BR47" s="19"/>
      <c r="BS47" s="9" t="b">
        <v>1</v>
      </c>
      <c r="BT47" s="9">
        <v>2637</v>
      </c>
      <c r="BU47" s="9">
        <v>1336</v>
      </c>
      <c r="BV47" s="9">
        <v>11.6936717033386</v>
      </c>
      <c r="BW47" s="19"/>
      <c r="BX47" s="19"/>
      <c r="BY47" s="9">
        <v>11.7976515293121</v>
      </c>
      <c r="BZ47" s="9" t="s">
        <v>231</v>
      </c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9">
        <v>1723</v>
      </c>
      <c r="CP47" s="9">
        <v>0</v>
      </c>
      <c r="CQ47" s="9">
        <v>232</v>
      </c>
      <c r="CR47" s="9">
        <v>155</v>
      </c>
      <c r="CS47" s="9">
        <v>1336</v>
      </c>
      <c r="CT47" s="9">
        <v>8105</v>
      </c>
      <c r="CU47" s="9">
        <v>6209</v>
      </c>
      <c r="CV47" s="9">
        <v>356</v>
      </c>
      <c r="CW47" s="9">
        <v>239</v>
      </c>
      <c r="CX47" s="9">
        <v>1301</v>
      </c>
      <c r="CY47" s="9">
        <v>1723</v>
      </c>
      <c r="CZ47" s="9">
        <v>1372</v>
      </c>
      <c r="DA47" s="9">
        <v>761</v>
      </c>
      <c r="DB47" s="9">
        <v>962</v>
      </c>
      <c r="DC47" s="9">
        <v>611</v>
      </c>
      <c r="DD47" s="9">
        <v>0.44167150319210702</v>
      </c>
      <c r="DE47" s="9">
        <v>0.55466472303207004</v>
      </c>
      <c r="DF47" s="9">
        <v>0.49176090468497602</v>
      </c>
    </row>
    <row r="48" spans="1:110" ht="16" customHeight="1" x14ac:dyDescent="0.2">
      <c r="A48" s="8" t="s">
        <v>41</v>
      </c>
      <c r="B48" s="9" t="s">
        <v>241</v>
      </c>
      <c r="C48" s="9" t="s">
        <v>242</v>
      </c>
      <c r="D48" s="9" t="s">
        <v>174</v>
      </c>
      <c r="E48" s="9" t="s">
        <v>175</v>
      </c>
      <c r="F48" s="9" t="s">
        <v>176</v>
      </c>
      <c r="G48" s="9">
        <v>0.5</v>
      </c>
      <c r="H48" s="9">
        <v>1</v>
      </c>
      <c r="I48" s="9" t="s">
        <v>177</v>
      </c>
      <c r="J48" s="9" t="s">
        <v>178</v>
      </c>
      <c r="K48" s="9" t="s">
        <v>179</v>
      </c>
      <c r="L48" s="9" t="s">
        <v>180</v>
      </c>
      <c r="M48" s="9">
        <v>568</v>
      </c>
      <c r="N48" s="9">
        <v>0.161971830985916</v>
      </c>
      <c r="O48" s="9">
        <v>6.7055393586005804E-2</v>
      </c>
      <c r="P48" s="9">
        <v>9.4845360824742306E-2</v>
      </c>
      <c r="Q48" s="9">
        <v>8.6300000000000008</v>
      </c>
      <c r="R48" s="9">
        <v>98</v>
      </c>
      <c r="S48" s="9">
        <v>98</v>
      </c>
      <c r="T48" s="9">
        <v>24547</v>
      </c>
      <c r="U48" s="9">
        <v>196</v>
      </c>
      <c r="V48" s="9">
        <v>24743</v>
      </c>
      <c r="W48" s="9">
        <v>7</v>
      </c>
      <c r="X48" s="9">
        <v>24547</v>
      </c>
      <c r="Y48" s="9">
        <v>196</v>
      </c>
      <c r="Z48" s="9">
        <v>24743</v>
      </c>
      <c r="AA48" s="9">
        <v>9828</v>
      </c>
      <c r="AB48" s="9">
        <v>9828</v>
      </c>
      <c r="AC48" s="9">
        <v>0</v>
      </c>
      <c r="AD48" s="9">
        <v>0</v>
      </c>
      <c r="AE48" s="9">
        <v>7.5119999999999996</v>
      </c>
      <c r="AF48" s="9">
        <v>1.1020000000000001</v>
      </c>
      <c r="AG48" s="9">
        <v>3.0000000000000001E-3</v>
      </c>
      <c r="AH48" s="9">
        <v>1.4E-2</v>
      </c>
      <c r="AI48" s="9">
        <v>0.14899999999999999</v>
      </c>
      <c r="AJ48" s="9">
        <v>0</v>
      </c>
      <c r="AK48" s="9">
        <v>0</v>
      </c>
      <c r="AL48" s="9">
        <v>0</v>
      </c>
      <c r="AM48" s="9">
        <v>0.13100000000000001</v>
      </c>
      <c r="AN48" s="9">
        <v>0.68600000000000005</v>
      </c>
      <c r="AO48" s="9">
        <v>0.01</v>
      </c>
      <c r="AP48" s="9">
        <v>1.4E-2</v>
      </c>
      <c r="AQ48" s="9">
        <v>0</v>
      </c>
      <c r="AR48" s="9">
        <v>0</v>
      </c>
      <c r="AS48" s="9">
        <v>0</v>
      </c>
      <c r="AT48" s="9" t="s">
        <v>243</v>
      </c>
      <c r="AU48" s="9" t="s">
        <v>243</v>
      </c>
      <c r="AV48" s="9" t="b">
        <v>0</v>
      </c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9">
        <v>568</v>
      </c>
      <c r="CZ48" s="9">
        <v>1372</v>
      </c>
      <c r="DA48" s="9">
        <v>92</v>
      </c>
      <c r="DB48" s="9">
        <v>476</v>
      </c>
      <c r="DC48" s="9">
        <v>1280</v>
      </c>
      <c r="DD48" s="9">
        <v>0.161971830985916</v>
      </c>
      <c r="DE48" s="9">
        <v>6.7055393586005804E-2</v>
      </c>
      <c r="DF48" s="9">
        <v>9.4845360824742306E-2</v>
      </c>
    </row>
    <row r="49" spans="1:110" ht="16" customHeight="1" x14ac:dyDescent="0.2">
      <c r="A49" s="8" t="s">
        <v>41</v>
      </c>
      <c r="B49" s="9" t="s">
        <v>244</v>
      </c>
      <c r="C49" s="9" t="s">
        <v>242</v>
      </c>
      <c r="D49" s="9" t="s">
        <v>174</v>
      </c>
      <c r="E49" s="9" t="s">
        <v>175</v>
      </c>
      <c r="F49" s="9" t="s">
        <v>176</v>
      </c>
      <c r="G49" s="9">
        <v>0.5</v>
      </c>
      <c r="H49" s="9">
        <v>2</v>
      </c>
      <c r="I49" s="9" t="s">
        <v>177</v>
      </c>
      <c r="J49" s="9" t="s">
        <v>178</v>
      </c>
      <c r="K49" s="9" t="s">
        <v>179</v>
      </c>
      <c r="L49" s="9" t="s">
        <v>180</v>
      </c>
      <c r="M49" s="9">
        <v>1870</v>
      </c>
      <c r="N49" s="9">
        <v>0.217647058823529</v>
      </c>
      <c r="O49" s="9">
        <v>0.29664723032070001</v>
      </c>
      <c r="P49" s="9">
        <v>0.25107958050586099</v>
      </c>
      <c r="Q49" s="9">
        <v>8.32</v>
      </c>
      <c r="R49" s="9">
        <v>196</v>
      </c>
      <c r="S49" s="9">
        <v>196</v>
      </c>
      <c r="T49" s="9">
        <v>47115</v>
      </c>
      <c r="U49" s="9">
        <v>392</v>
      </c>
      <c r="V49" s="9">
        <v>47507</v>
      </c>
      <c r="W49" s="9">
        <v>13</v>
      </c>
      <c r="X49" s="9">
        <v>47115</v>
      </c>
      <c r="Y49" s="9">
        <v>392</v>
      </c>
      <c r="Z49" s="9">
        <v>47507</v>
      </c>
      <c r="AA49" s="9">
        <v>9828</v>
      </c>
      <c r="AB49" s="9">
        <v>9828</v>
      </c>
      <c r="AC49" s="9">
        <v>0</v>
      </c>
      <c r="AD49" s="9">
        <v>0</v>
      </c>
      <c r="AE49" s="9">
        <v>6.89</v>
      </c>
      <c r="AF49" s="9">
        <v>1.4119999999999999</v>
      </c>
      <c r="AG49" s="9">
        <v>4.0000000000000001E-3</v>
      </c>
      <c r="AH49" s="9">
        <v>1.4E-2</v>
      </c>
      <c r="AI49" s="9">
        <v>0.124</v>
      </c>
      <c r="AJ49" s="9">
        <v>0</v>
      </c>
      <c r="AK49" s="9">
        <v>0</v>
      </c>
      <c r="AL49" s="9">
        <v>0</v>
      </c>
      <c r="AM49" s="9">
        <v>0.246</v>
      </c>
      <c r="AN49" s="9">
        <v>0.92600000000000005</v>
      </c>
      <c r="AO49" s="9">
        <v>1.2999999999999999E-2</v>
      </c>
      <c r="AP49" s="9">
        <v>1.4E-2</v>
      </c>
      <c r="AQ49" s="9">
        <v>0</v>
      </c>
      <c r="AR49" s="9">
        <v>0</v>
      </c>
      <c r="AS49" s="9">
        <v>0</v>
      </c>
      <c r="AT49" s="9" t="s">
        <v>243</v>
      </c>
      <c r="AU49" s="9" t="s">
        <v>243</v>
      </c>
      <c r="AV49" s="9" t="b">
        <v>0</v>
      </c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9">
        <v>1870</v>
      </c>
      <c r="CZ49" s="9">
        <v>1372</v>
      </c>
      <c r="DA49" s="9">
        <v>407</v>
      </c>
      <c r="DB49" s="9">
        <v>1463</v>
      </c>
      <c r="DC49" s="9">
        <v>965</v>
      </c>
      <c r="DD49" s="9">
        <v>0.217647058823529</v>
      </c>
      <c r="DE49" s="9">
        <v>0.29664723032070001</v>
      </c>
      <c r="DF49" s="9">
        <v>0.25107958050586099</v>
      </c>
    </row>
    <row r="50" spans="1:110" ht="16" customHeight="1" x14ac:dyDescent="0.2">
      <c r="A50" s="8" t="s">
        <v>41</v>
      </c>
      <c r="B50" s="9" t="s">
        <v>245</v>
      </c>
      <c r="C50" s="9" t="s">
        <v>242</v>
      </c>
      <c r="D50" s="9" t="s">
        <v>174</v>
      </c>
      <c r="E50" s="9" t="s">
        <v>175</v>
      </c>
      <c r="F50" s="9" t="s">
        <v>176</v>
      </c>
      <c r="G50" s="9">
        <v>0.5</v>
      </c>
      <c r="H50" s="9">
        <v>3</v>
      </c>
      <c r="I50" s="9" t="s">
        <v>177</v>
      </c>
      <c r="J50" s="9" t="s">
        <v>178</v>
      </c>
      <c r="K50" s="9" t="s">
        <v>179</v>
      </c>
      <c r="L50" s="9" t="s">
        <v>180</v>
      </c>
      <c r="M50" s="9">
        <v>4205</v>
      </c>
      <c r="N50" s="9">
        <v>0.17907253269916801</v>
      </c>
      <c r="O50" s="9">
        <v>0.54883381924198305</v>
      </c>
      <c r="P50" s="9">
        <v>0.27003765465303903</v>
      </c>
      <c r="Q50" s="9">
        <v>9.7100000000000009</v>
      </c>
      <c r="R50" s="9">
        <v>294</v>
      </c>
      <c r="S50" s="9">
        <v>294</v>
      </c>
      <c r="T50" s="9">
        <v>69220</v>
      </c>
      <c r="U50" s="9">
        <v>588</v>
      </c>
      <c r="V50" s="9">
        <v>69808</v>
      </c>
      <c r="W50" s="9">
        <v>19</v>
      </c>
      <c r="X50" s="9">
        <v>69220</v>
      </c>
      <c r="Y50" s="9">
        <v>588</v>
      </c>
      <c r="Z50" s="9">
        <v>69808</v>
      </c>
      <c r="AA50" s="9">
        <v>9828</v>
      </c>
      <c r="AB50" s="9">
        <v>9828</v>
      </c>
      <c r="AC50" s="9">
        <v>0</v>
      </c>
      <c r="AD50" s="9">
        <v>0</v>
      </c>
      <c r="AE50" s="9">
        <v>7.3840000000000003</v>
      </c>
      <c r="AF50" s="9">
        <v>2.3029999999999999</v>
      </c>
      <c r="AG50" s="9">
        <v>5.0000000000000001E-3</v>
      </c>
      <c r="AH50" s="9">
        <v>1.4E-2</v>
      </c>
      <c r="AI50" s="9">
        <v>0.123</v>
      </c>
      <c r="AJ50" s="9">
        <v>0</v>
      </c>
      <c r="AK50" s="9">
        <v>0</v>
      </c>
      <c r="AL50" s="9">
        <v>0</v>
      </c>
      <c r="AM50" s="9">
        <v>0.36499999999999999</v>
      </c>
      <c r="AN50" s="9">
        <v>1.6639999999999999</v>
      </c>
      <c r="AO50" s="9">
        <v>0.02</v>
      </c>
      <c r="AP50" s="9">
        <v>1.4E-2</v>
      </c>
      <c r="AQ50" s="9">
        <v>0</v>
      </c>
      <c r="AR50" s="9">
        <v>0</v>
      </c>
      <c r="AS50" s="9">
        <v>0</v>
      </c>
      <c r="AT50" s="9" t="s">
        <v>243</v>
      </c>
      <c r="AU50" s="9" t="s">
        <v>243</v>
      </c>
      <c r="AV50" s="9" t="b">
        <v>0</v>
      </c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9">
        <v>4205</v>
      </c>
      <c r="CZ50" s="9">
        <v>1372</v>
      </c>
      <c r="DA50" s="9">
        <v>753</v>
      </c>
      <c r="DB50" s="9">
        <v>3452</v>
      </c>
      <c r="DC50" s="9">
        <v>619</v>
      </c>
      <c r="DD50" s="9">
        <v>0.17907253269916801</v>
      </c>
      <c r="DE50" s="9">
        <v>0.54883381924198305</v>
      </c>
      <c r="DF50" s="9">
        <v>0.27003765465303903</v>
      </c>
    </row>
    <row r="51" spans="1:110" ht="16" customHeight="1" x14ac:dyDescent="0.2">
      <c r="A51" s="8" t="s">
        <v>41</v>
      </c>
      <c r="B51" s="9" t="s">
        <v>246</v>
      </c>
      <c r="C51" s="9" t="s">
        <v>242</v>
      </c>
      <c r="D51" s="9" t="s">
        <v>174</v>
      </c>
      <c r="E51" s="9" t="s">
        <v>175</v>
      </c>
      <c r="F51" s="9" t="s">
        <v>176</v>
      </c>
      <c r="G51" s="9">
        <v>0.5</v>
      </c>
      <c r="H51" s="9">
        <v>4</v>
      </c>
      <c r="I51" s="9" t="s">
        <v>177</v>
      </c>
      <c r="J51" s="9" t="s">
        <v>178</v>
      </c>
      <c r="K51" s="9" t="s">
        <v>179</v>
      </c>
      <c r="L51" s="9" t="s">
        <v>180</v>
      </c>
      <c r="M51" s="9">
        <v>871</v>
      </c>
      <c r="N51" s="9">
        <v>0.38576349024110201</v>
      </c>
      <c r="O51" s="9">
        <v>0.24489795918367299</v>
      </c>
      <c r="P51" s="9">
        <v>0.299598751671868</v>
      </c>
      <c r="Q51" s="9">
        <v>9.8800000000000008</v>
      </c>
      <c r="R51" s="9">
        <v>393</v>
      </c>
      <c r="S51" s="9">
        <v>393</v>
      </c>
      <c r="T51" s="9">
        <v>94739</v>
      </c>
      <c r="U51" s="9">
        <v>786</v>
      </c>
      <c r="V51" s="9">
        <v>95525</v>
      </c>
      <c r="W51" s="9">
        <v>25</v>
      </c>
      <c r="X51" s="9">
        <v>94739</v>
      </c>
      <c r="Y51" s="9">
        <v>786</v>
      </c>
      <c r="Z51" s="9">
        <v>95525</v>
      </c>
      <c r="AA51" s="9">
        <v>9828</v>
      </c>
      <c r="AB51" s="9">
        <v>9828</v>
      </c>
      <c r="AC51" s="9">
        <v>0</v>
      </c>
      <c r="AD51" s="9">
        <v>0</v>
      </c>
      <c r="AE51" s="9">
        <v>7.3860000000000001</v>
      </c>
      <c r="AF51" s="9">
        <v>2.4750000000000001</v>
      </c>
      <c r="AG51" s="9">
        <v>5.0000000000000001E-3</v>
      </c>
      <c r="AH51" s="9">
        <v>1.4999999999999999E-2</v>
      </c>
      <c r="AI51" s="9">
        <v>0.129</v>
      </c>
      <c r="AJ51" s="9">
        <v>0</v>
      </c>
      <c r="AK51" s="9">
        <v>0</v>
      </c>
      <c r="AL51" s="9">
        <v>0</v>
      </c>
      <c r="AM51" s="9">
        <v>0.49299999999999999</v>
      </c>
      <c r="AN51" s="9">
        <v>1.744</v>
      </c>
      <c r="AO51" s="9">
        <v>1.0999999999999999E-2</v>
      </c>
      <c r="AP51" s="9">
        <v>1.4999999999999999E-2</v>
      </c>
      <c r="AQ51" s="9">
        <v>0</v>
      </c>
      <c r="AR51" s="9">
        <v>0</v>
      </c>
      <c r="AS51" s="9">
        <v>0</v>
      </c>
      <c r="AT51" s="9" t="s">
        <v>243</v>
      </c>
      <c r="AU51" s="9" t="s">
        <v>243</v>
      </c>
      <c r="AV51" s="9" t="b">
        <v>0</v>
      </c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9">
        <v>871</v>
      </c>
      <c r="CZ51" s="9">
        <v>1372</v>
      </c>
      <c r="DA51" s="9">
        <v>336</v>
      </c>
      <c r="DB51" s="9">
        <v>535</v>
      </c>
      <c r="DC51" s="9">
        <v>1036</v>
      </c>
      <c r="DD51" s="9">
        <v>0.38576349024110201</v>
      </c>
      <c r="DE51" s="9">
        <v>0.24489795918367299</v>
      </c>
      <c r="DF51" s="9">
        <v>0.299598751671868</v>
      </c>
    </row>
    <row r="52" spans="1:110" ht="16" customHeight="1" x14ac:dyDescent="0.2">
      <c r="A52" s="8" t="s">
        <v>41</v>
      </c>
      <c r="B52" s="9" t="s">
        <v>247</v>
      </c>
      <c r="C52" s="9" t="s">
        <v>242</v>
      </c>
      <c r="D52" s="9" t="s">
        <v>174</v>
      </c>
      <c r="E52" s="9" t="s">
        <v>175</v>
      </c>
      <c r="F52" s="9" t="s">
        <v>176</v>
      </c>
      <c r="G52" s="9">
        <v>0.5</v>
      </c>
      <c r="H52" s="9">
        <v>5</v>
      </c>
      <c r="I52" s="9" t="s">
        <v>177</v>
      </c>
      <c r="J52" s="9" t="s">
        <v>178</v>
      </c>
      <c r="K52" s="9" t="s">
        <v>179</v>
      </c>
      <c r="L52" s="9" t="s">
        <v>180</v>
      </c>
      <c r="M52" s="9">
        <v>1071</v>
      </c>
      <c r="N52" s="9">
        <v>0.38842203548085902</v>
      </c>
      <c r="O52" s="9">
        <v>0.30320699708454801</v>
      </c>
      <c r="P52" s="9">
        <v>0.34056487924682799</v>
      </c>
      <c r="Q52" s="9">
        <v>9.98</v>
      </c>
      <c r="R52" s="9">
        <v>491</v>
      </c>
      <c r="S52" s="9">
        <v>491</v>
      </c>
      <c r="T52" s="9">
        <v>118736</v>
      </c>
      <c r="U52" s="9">
        <v>982</v>
      </c>
      <c r="V52" s="9">
        <v>119718</v>
      </c>
      <c r="W52" s="9">
        <v>31</v>
      </c>
      <c r="X52" s="9">
        <v>118736</v>
      </c>
      <c r="Y52" s="9">
        <v>982</v>
      </c>
      <c r="Z52" s="9">
        <v>119718</v>
      </c>
      <c r="AA52" s="9">
        <v>9828</v>
      </c>
      <c r="AB52" s="9">
        <v>9828</v>
      </c>
      <c r="AC52" s="9">
        <v>0</v>
      </c>
      <c r="AD52" s="9">
        <v>0</v>
      </c>
      <c r="AE52" s="9">
        <v>7.1980000000000004</v>
      </c>
      <c r="AF52" s="9">
        <v>2.7669999999999999</v>
      </c>
      <c r="AG52" s="9">
        <v>5.0000000000000001E-3</v>
      </c>
      <c r="AH52" s="9">
        <v>1.4E-2</v>
      </c>
      <c r="AI52" s="9">
        <v>0.13300000000000001</v>
      </c>
      <c r="AJ52" s="9">
        <v>0</v>
      </c>
      <c r="AK52" s="9">
        <v>0</v>
      </c>
      <c r="AL52" s="9">
        <v>0</v>
      </c>
      <c r="AM52" s="9">
        <v>0.62</v>
      </c>
      <c r="AN52" s="9">
        <v>1.909</v>
      </c>
      <c r="AO52" s="9">
        <v>1.2E-2</v>
      </c>
      <c r="AP52" s="9">
        <v>1.4E-2</v>
      </c>
      <c r="AQ52" s="9">
        <v>0</v>
      </c>
      <c r="AR52" s="9">
        <v>0</v>
      </c>
      <c r="AS52" s="9">
        <v>0</v>
      </c>
      <c r="AT52" s="9" t="s">
        <v>243</v>
      </c>
      <c r="AU52" s="9" t="s">
        <v>243</v>
      </c>
      <c r="AV52" s="9" t="b">
        <v>0</v>
      </c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9">
        <v>1071</v>
      </c>
      <c r="CZ52" s="9">
        <v>1372</v>
      </c>
      <c r="DA52" s="9">
        <v>416</v>
      </c>
      <c r="DB52" s="9">
        <v>655</v>
      </c>
      <c r="DC52" s="9">
        <v>956</v>
      </c>
      <c r="DD52" s="9">
        <v>0.38842203548085902</v>
      </c>
      <c r="DE52" s="9">
        <v>0.30320699708454801</v>
      </c>
      <c r="DF52" s="9">
        <v>0.34056487924682799</v>
      </c>
    </row>
    <row r="53" spans="1:110" ht="16" customHeight="1" x14ac:dyDescent="0.2">
      <c r="A53" s="8" t="s">
        <v>41</v>
      </c>
      <c r="B53" s="9" t="s">
        <v>248</v>
      </c>
      <c r="C53" s="9" t="s">
        <v>242</v>
      </c>
      <c r="D53" s="9" t="s">
        <v>174</v>
      </c>
      <c r="E53" s="9" t="s">
        <v>175</v>
      </c>
      <c r="F53" s="9" t="s">
        <v>176</v>
      </c>
      <c r="G53" s="9">
        <v>0.5</v>
      </c>
      <c r="H53" s="9">
        <v>6</v>
      </c>
      <c r="I53" s="9" t="s">
        <v>177</v>
      </c>
      <c r="J53" s="9" t="s">
        <v>178</v>
      </c>
      <c r="K53" s="9" t="s">
        <v>179</v>
      </c>
      <c r="L53" s="9" t="s">
        <v>180</v>
      </c>
      <c r="M53" s="9">
        <v>1003</v>
      </c>
      <c r="N53" s="9">
        <v>0.43070787637088698</v>
      </c>
      <c r="O53" s="9">
        <v>0.314868804664723</v>
      </c>
      <c r="P53" s="9">
        <v>0.363789473684211</v>
      </c>
      <c r="Q53" s="9">
        <v>10.41</v>
      </c>
      <c r="R53" s="9">
        <v>589</v>
      </c>
      <c r="S53" s="9">
        <v>589</v>
      </c>
      <c r="T53" s="9">
        <v>141676</v>
      </c>
      <c r="U53" s="9">
        <v>1178</v>
      </c>
      <c r="V53" s="9">
        <v>142854</v>
      </c>
      <c r="W53" s="9">
        <v>37</v>
      </c>
      <c r="X53" s="9">
        <v>141676</v>
      </c>
      <c r="Y53" s="9">
        <v>1178</v>
      </c>
      <c r="Z53" s="9">
        <v>142854</v>
      </c>
      <c r="AA53" s="9">
        <v>9828</v>
      </c>
      <c r="AB53" s="9">
        <v>9828</v>
      </c>
      <c r="AC53" s="9">
        <v>0</v>
      </c>
      <c r="AD53" s="9">
        <v>0</v>
      </c>
      <c r="AE53" s="9">
        <v>7.141</v>
      </c>
      <c r="AF53" s="9">
        <v>3.2450000000000001</v>
      </c>
      <c r="AG53" s="9">
        <v>6.0000000000000001E-3</v>
      </c>
      <c r="AH53" s="9">
        <v>1.4999999999999999E-2</v>
      </c>
      <c r="AI53" s="9">
        <v>0.13700000000000001</v>
      </c>
      <c r="AJ53" s="9">
        <v>0</v>
      </c>
      <c r="AK53" s="9">
        <v>0</v>
      </c>
      <c r="AL53" s="9">
        <v>0</v>
      </c>
      <c r="AM53" s="9">
        <v>0.75700000000000001</v>
      </c>
      <c r="AN53" s="9">
        <v>2.2410000000000001</v>
      </c>
      <c r="AO53" s="9">
        <v>1.2999999999999999E-2</v>
      </c>
      <c r="AP53" s="9">
        <v>1.4999999999999999E-2</v>
      </c>
      <c r="AQ53" s="9">
        <v>0</v>
      </c>
      <c r="AR53" s="9">
        <v>0</v>
      </c>
      <c r="AS53" s="9">
        <v>0</v>
      </c>
      <c r="AT53" s="9" t="s">
        <v>243</v>
      </c>
      <c r="AU53" s="9" t="s">
        <v>243</v>
      </c>
      <c r="AV53" s="9" t="b">
        <v>0</v>
      </c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9">
        <v>1003</v>
      </c>
      <c r="CZ53" s="9">
        <v>1372</v>
      </c>
      <c r="DA53" s="9">
        <v>432</v>
      </c>
      <c r="DB53" s="9">
        <v>571</v>
      </c>
      <c r="DC53" s="9">
        <v>940</v>
      </c>
      <c r="DD53" s="9">
        <v>0.43070787637088698</v>
      </c>
      <c r="DE53" s="9">
        <v>0.314868804664723</v>
      </c>
      <c r="DF53" s="9">
        <v>0.363789473684211</v>
      </c>
    </row>
    <row r="54" spans="1:110" ht="16" customHeight="1" x14ac:dyDescent="0.2">
      <c r="A54" s="8" t="s">
        <v>41</v>
      </c>
      <c r="B54" s="9" t="s">
        <v>249</v>
      </c>
      <c r="C54" s="9" t="s">
        <v>242</v>
      </c>
      <c r="D54" s="9" t="s">
        <v>174</v>
      </c>
      <c r="E54" s="9" t="s">
        <v>175</v>
      </c>
      <c r="F54" s="9" t="s">
        <v>176</v>
      </c>
      <c r="G54" s="9">
        <v>0.5</v>
      </c>
      <c r="H54" s="9">
        <v>7</v>
      </c>
      <c r="I54" s="9" t="s">
        <v>177</v>
      </c>
      <c r="J54" s="9" t="s">
        <v>178</v>
      </c>
      <c r="K54" s="9" t="s">
        <v>179</v>
      </c>
      <c r="L54" s="9" t="s">
        <v>180</v>
      </c>
      <c r="M54" s="9">
        <v>1692</v>
      </c>
      <c r="N54" s="9">
        <v>0.31737588652482301</v>
      </c>
      <c r="O54" s="9">
        <v>0.39139941690962099</v>
      </c>
      <c r="P54" s="9">
        <v>0.35052219321148798</v>
      </c>
      <c r="Q54" s="9">
        <v>11.03</v>
      </c>
      <c r="R54" s="9">
        <v>687</v>
      </c>
      <c r="S54" s="9">
        <v>687</v>
      </c>
      <c r="T54" s="9">
        <v>166594</v>
      </c>
      <c r="U54" s="9">
        <v>1374</v>
      </c>
      <c r="V54" s="9">
        <v>167968</v>
      </c>
      <c r="W54" s="9">
        <v>43</v>
      </c>
      <c r="X54" s="9">
        <v>166594</v>
      </c>
      <c r="Y54" s="9">
        <v>1374</v>
      </c>
      <c r="Z54" s="9">
        <v>167968</v>
      </c>
      <c r="AA54" s="9">
        <v>9828</v>
      </c>
      <c r="AB54" s="9">
        <v>9828</v>
      </c>
      <c r="AC54" s="9">
        <v>0</v>
      </c>
      <c r="AD54" s="9">
        <v>0</v>
      </c>
      <c r="AE54" s="9">
        <v>7.1639999999999997</v>
      </c>
      <c r="AF54" s="9">
        <v>3.847</v>
      </c>
      <c r="AG54" s="9">
        <v>6.0000000000000001E-3</v>
      </c>
      <c r="AH54" s="9">
        <v>1.4999999999999999E-2</v>
      </c>
      <c r="AI54" s="9">
        <v>0.155</v>
      </c>
      <c r="AJ54" s="9">
        <v>0</v>
      </c>
      <c r="AK54" s="9">
        <v>0</v>
      </c>
      <c r="AL54" s="9">
        <v>0</v>
      </c>
      <c r="AM54" s="9">
        <v>0.89100000000000001</v>
      </c>
      <c r="AN54" s="9">
        <v>2.67</v>
      </c>
      <c r="AO54" s="9">
        <v>1.2999999999999999E-2</v>
      </c>
      <c r="AP54" s="9">
        <v>1.4999999999999999E-2</v>
      </c>
      <c r="AQ54" s="9">
        <v>0</v>
      </c>
      <c r="AR54" s="9">
        <v>0</v>
      </c>
      <c r="AS54" s="9">
        <v>0</v>
      </c>
      <c r="AT54" s="9" t="s">
        <v>243</v>
      </c>
      <c r="AU54" s="9" t="s">
        <v>243</v>
      </c>
      <c r="AV54" s="9" t="b">
        <v>0</v>
      </c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9">
        <v>1692</v>
      </c>
      <c r="CZ54" s="9">
        <v>1372</v>
      </c>
      <c r="DA54" s="9">
        <v>537</v>
      </c>
      <c r="DB54" s="9">
        <v>1155</v>
      </c>
      <c r="DC54" s="9">
        <v>835</v>
      </c>
      <c r="DD54" s="9">
        <v>0.31737588652482301</v>
      </c>
      <c r="DE54" s="9">
        <v>0.39139941690962099</v>
      </c>
      <c r="DF54" s="9">
        <v>0.35052219321148798</v>
      </c>
    </row>
    <row r="55" spans="1:110" s="4" customFormat="1" ht="16" customHeight="1" x14ac:dyDescent="0.2">
      <c r="A55" s="21" t="s">
        <v>41</v>
      </c>
      <c r="B55" s="20" t="s">
        <v>250</v>
      </c>
      <c r="C55" s="20" t="s">
        <v>242</v>
      </c>
      <c r="D55" s="20" t="s">
        <v>174</v>
      </c>
      <c r="E55" s="20" t="s">
        <v>175</v>
      </c>
      <c r="F55" s="20" t="s">
        <v>176</v>
      </c>
      <c r="G55" s="20">
        <v>0.5</v>
      </c>
      <c r="H55" s="20">
        <v>8</v>
      </c>
      <c r="I55" s="20" t="s">
        <v>177</v>
      </c>
      <c r="J55" s="20" t="s">
        <v>178</v>
      </c>
      <c r="K55" s="20" t="s">
        <v>179</v>
      </c>
      <c r="L55" s="20" t="s">
        <v>180</v>
      </c>
      <c r="M55" s="20">
        <v>833</v>
      </c>
      <c r="N55" s="20">
        <v>0.51500600240095995</v>
      </c>
      <c r="O55" s="20">
        <v>0.31268221574344002</v>
      </c>
      <c r="P55" s="20">
        <v>0.38911564625850298</v>
      </c>
      <c r="Q55" s="20">
        <v>11.98</v>
      </c>
      <c r="R55" s="20">
        <v>786</v>
      </c>
      <c r="S55" s="20">
        <v>786</v>
      </c>
      <c r="T55" s="20">
        <v>193233</v>
      </c>
      <c r="U55" s="20">
        <v>1572</v>
      </c>
      <c r="V55" s="20">
        <v>194805</v>
      </c>
      <c r="W55" s="20">
        <v>50</v>
      </c>
      <c r="X55" s="20">
        <v>193233</v>
      </c>
      <c r="Y55" s="20">
        <v>1572</v>
      </c>
      <c r="Z55" s="20">
        <v>194805</v>
      </c>
      <c r="AA55" s="20">
        <v>9828</v>
      </c>
      <c r="AB55" s="20">
        <v>9828</v>
      </c>
      <c r="AC55" s="20">
        <v>0</v>
      </c>
      <c r="AD55" s="20">
        <v>0</v>
      </c>
      <c r="AE55" s="20">
        <v>7.3869999999999996</v>
      </c>
      <c r="AF55" s="20">
        <v>4.5720000000000001</v>
      </c>
      <c r="AG55" s="20">
        <v>5.0000000000000001E-3</v>
      </c>
      <c r="AH55" s="20">
        <v>1.4999999999999999E-2</v>
      </c>
      <c r="AI55" s="20">
        <v>0.156</v>
      </c>
      <c r="AJ55" s="20">
        <v>0</v>
      </c>
      <c r="AK55" s="20">
        <v>0</v>
      </c>
      <c r="AL55" s="20">
        <v>0</v>
      </c>
      <c r="AM55" s="20">
        <v>1.048</v>
      </c>
      <c r="AN55" s="20">
        <v>3.2480000000000002</v>
      </c>
      <c r="AO55" s="20">
        <v>1.0999999999999999E-2</v>
      </c>
      <c r="AP55" s="20">
        <v>1.4999999999999999E-2</v>
      </c>
      <c r="AQ55" s="20">
        <v>0</v>
      </c>
      <c r="AR55" s="20">
        <v>0</v>
      </c>
      <c r="AS55" s="20">
        <v>0</v>
      </c>
      <c r="AT55" s="20" t="s">
        <v>243</v>
      </c>
      <c r="AU55" s="20" t="s">
        <v>243</v>
      </c>
      <c r="AV55" s="20" t="b">
        <v>0</v>
      </c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0">
        <v>833</v>
      </c>
      <c r="CZ55" s="20">
        <v>1372</v>
      </c>
      <c r="DA55" s="20">
        <v>429</v>
      </c>
      <c r="DB55" s="20">
        <v>404</v>
      </c>
      <c r="DC55" s="20">
        <v>943</v>
      </c>
      <c r="DD55" s="20">
        <v>0.51500600240095995</v>
      </c>
      <c r="DE55" s="20">
        <v>0.31268221574344002</v>
      </c>
      <c r="DF55" s="20">
        <v>0.38911564625850298</v>
      </c>
    </row>
    <row r="56" spans="1:110" ht="16" customHeight="1" x14ac:dyDescent="0.2">
      <c r="A56" s="8" t="s">
        <v>41</v>
      </c>
      <c r="B56" s="9" t="s">
        <v>251</v>
      </c>
      <c r="C56" s="9" t="s">
        <v>242</v>
      </c>
      <c r="D56" s="9" t="s">
        <v>174</v>
      </c>
      <c r="E56" s="9" t="s">
        <v>175</v>
      </c>
      <c r="F56" s="9" t="s">
        <v>176</v>
      </c>
      <c r="G56" s="9">
        <v>0.5</v>
      </c>
      <c r="H56" s="9">
        <v>9</v>
      </c>
      <c r="I56" s="9" t="s">
        <v>177</v>
      </c>
      <c r="J56" s="9" t="s">
        <v>178</v>
      </c>
      <c r="K56" s="9" t="s">
        <v>179</v>
      </c>
      <c r="L56" s="9" t="s">
        <v>180</v>
      </c>
      <c r="M56" s="9">
        <v>820</v>
      </c>
      <c r="N56" s="9">
        <v>0.52804878048780501</v>
      </c>
      <c r="O56" s="9">
        <v>0.31559766763848401</v>
      </c>
      <c r="P56" s="9">
        <v>0.39507299270072999</v>
      </c>
      <c r="Q56" s="9">
        <v>12.24</v>
      </c>
      <c r="R56" s="9">
        <v>884</v>
      </c>
      <c r="S56" s="9">
        <v>884</v>
      </c>
      <c r="T56" s="9">
        <v>216159</v>
      </c>
      <c r="U56" s="9">
        <v>1768</v>
      </c>
      <c r="V56" s="9">
        <v>217927</v>
      </c>
      <c r="W56" s="9">
        <v>56</v>
      </c>
      <c r="X56" s="9">
        <v>216159</v>
      </c>
      <c r="Y56" s="9">
        <v>1768</v>
      </c>
      <c r="Z56" s="9">
        <v>217927</v>
      </c>
      <c r="AA56" s="9">
        <v>9828</v>
      </c>
      <c r="AB56" s="9">
        <v>9828</v>
      </c>
      <c r="AC56" s="9">
        <v>0</v>
      </c>
      <c r="AD56" s="9">
        <v>0</v>
      </c>
      <c r="AE56" s="9">
        <v>7.3550000000000004</v>
      </c>
      <c r="AF56" s="9">
        <v>4.8680000000000003</v>
      </c>
      <c r="AG56" s="9">
        <v>5.0000000000000001E-3</v>
      </c>
      <c r="AH56" s="9">
        <v>1.4999999999999999E-2</v>
      </c>
      <c r="AI56" s="9">
        <v>0.129</v>
      </c>
      <c r="AJ56" s="9">
        <v>0</v>
      </c>
      <c r="AK56" s="9">
        <v>0</v>
      </c>
      <c r="AL56" s="9">
        <v>0</v>
      </c>
      <c r="AM56" s="9">
        <v>1.1830000000000001</v>
      </c>
      <c r="AN56" s="9">
        <v>3.448</v>
      </c>
      <c r="AO56" s="9">
        <v>0.01</v>
      </c>
      <c r="AP56" s="9">
        <v>1.4999999999999999E-2</v>
      </c>
      <c r="AQ56" s="9">
        <v>0</v>
      </c>
      <c r="AR56" s="9">
        <v>0</v>
      </c>
      <c r="AS56" s="9">
        <v>0</v>
      </c>
      <c r="AT56" s="9" t="s">
        <v>243</v>
      </c>
      <c r="AU56" s="9" t="s">
        <v>243</v>
      </c>
      <c r="AV56" s="9" t="b">
        <v>0</v>
      </c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9">
        <v>820</v>
      </c>
      <c r="CZ56" s="9">
        <v>1372</v>
      </c>
      <c r="DA56" s="9">
        <v>433</v>
      </c>
      <c r="DB56" s="9">
        <v>387</v>
      </c>
      <c r="DC56" s="9">
        <v>939</v>
      </c>
      <c r="DD56" s="9">
        <v>0.52804878048780501</v>
      </c>
      <c r="DE56" s="9">
        <v>0.31559766763848401</v>
      </c>
      <c r="DF56" s="9">
        <v>0.39507299270072999</v>
      </c>
    </row>
    <row r="57" spans="1:110" ht="16" customHeight="1" x14ac:dyDescent="0.2">
      <c r="A57" s="8" t="s">
        <v>41</v>
      </c>
      <c r="B57" s="9" t="s">
        <v>252</v>
      </c>
      <c r="C57" s="9" t="s">
        <v>242</v>
      </c>
      <c r="D57" s="9" t="s">
        <v>174</v>
      </c>
      <c r="E57" s="9" t="s">
        <v>175</v>
      </c>
      <c r="F57" s="9" t="s">
        <v>176</v>
      </c>
      <c r="G57" s="9">
        <v>0.5</v>
      </c>
      <c r="H57" s="9">
        <v>10</v>
      </c>
      <c r="I57" s="9" t="s">
        <v>177</v>
      </c>
      <c r="J57" s="9" t="s">
        <v>178</v>
      </c>
      <c r="K57" s="9" t="s">
        <v>179</v>
      </c>
      <c r="L57" s="9" t="s">
        <v>180</v>
      </c>
      <c r="M57" s="9">
        <v>944</v>
      </c>
      <c r="N57" s="9">
        <v>0.49576271186440701</v>
      </c>
      <c r="O57" s="9">
        <v>0.34110787172011697</v>
      </c>
      <c r="P57" s="9">
        <v>0.40414507772020702</v>
      </c>
      <c r="Q57" s="9">
        <v>12.82</v>
      </c>
      <c r="R57" s="9">
        <v>982</v>
      </c>
      <c r="S57" s="9">
        <v>982</v>
      </c>
      <c r="T57" s="9">
        <v>243580</v>
      </c>
      <c r="U57" s="9">
        <v>1964</v>
      </c>
      <c r="V57" s="9">
        <v>245544</v>
      </c>
      <c r="W57" s="9">
        <v>62</v>
      </c>
      <c r="X57" s="9">
        <v>243580</v>
      </c>
      <c r="Y57" s="9">
        <v>1964</v>
      </c>
      <c r="Z57" s="9">
        <v>245544</v>
      </c>
      <c r="AA57" s="9">
        <v>9828</v>
      </c>
      <c r="AB57" s="9">
        <v>9828</v>
      </c>
      <c r="AC57" s="9">
        <v>0</v>
      </c>
      <c r="AD57" s="9">
        <v>0</v>
      </c>
      <c r="AE57" s="9">
        <v>7.1379999999999999</v>
      </c>
      <c r="AF57" s="9">
        <v>5.6660000000000004</v>
      </c>
      <c r="AG57" s="9">
        <v>6.0000000000000001E-3</v>
      </c>
      <c r="AH57" s="9">
        <v>1.4999999999999999E-2</v>
      </c>
      <c r="AI57" s="9">
        <v>0.13600000000000001</v>
      </c>
      <c r="AJ57" s="9">
        <v>0</v>
      </c>
      <c r="AK57" s="9">
        <v>0</v>
      </c>
      <c r="AL57" s="9">
        <v>0</v>
      </c>
      <c r="AM57" s="9">
        <v>1.329</v>
      </c>
      <c r="AN57" s="9">
        <v>4.0999999999999996</v>
      </c>
      <c r="AO57" s="9">
        <v>1.2E-2</v>
      </c>
      <c r="AP57" s="9">
        <v>1.4999999999999999E-2</v>
      </c>
      <c r="AQ57" s="9">
        <v>0</v>
      </c>
      <c r="AR57" s="9">
        <v>0</v>
      </c>
      <c r="AS57" s="9">
        <v>0</v>
      </c>
      <c r="AT57" s="9" t="s">
        <v>243</v>
      </c>
      <c r="AU57" s="9" t="s">
        <v>243</v>
      </c>
      <c r="AV57" s="9" t="b">
        <v>0</v>
      </c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9">
        <v>944</v>
      </c>
      <c r="CZ57" s="9">
        <v>1372</v>
      </c>
      <c r="DA57" s="9">
        <v>468</v>
      </c>
      <c r="DB57" s="9">
        <v>476</v>
      </c>
      <c r="DC57" s="9">
        <v>904</v>
      </c>
      <c r="DD57" s="9">
        <v>0.49576271186440701</v>
      </c>
      <c r="DE57" s="9">
        <v>0.34110787172011697</v>
      </c>
      <c r="DF57" s="9">
        <v>0.40414507772020702</v>
      </c>
    </row>
    <row r="58" spans="1:110" ht="16" customHeight="1" x14ac:dyDescent="0.2">
      <c r="A58" s="8" t="s">
        <v>41</v>
      </c>
      <c r="B58" s="9" t="s">
        <v>253</v>
      </c>
      <c r="C58" s="9" t="s">
        <v>254</v>
      </c>
      <c r="D58" s="9" t="s">
        <v>174</v>
      </c>
      <c r="E58" s="9" t="s">
        <v>187</v>
      </c>
      <c r="F58" s="9" t="s">
        <v>176</v>
      </c>
      <c r="G58" s="9">
        <v>0.5</v>
      </c>
      <c r="H58" s="9">
        <v>1</v>
      </c>
      <c r="I58" s="9" t="s">
        <v>177</v>
      </c>
      <c r="J58" s="9" t="s">
        <v>178</v>
      </c>
      <c r="K58" s="9" t="s">
        <v>179</v>
      </c>
      <c r="L58" s="9" t="s">
        <v>180</v>
      </c>
      <c r="M58" s="9">
        <v>96</v>
      </c>
      <c r="N58" s="9">
        <v>0.27083333333333298</v>
      </c>
      <c r="O58" s="9">
        <v>1.8950437317784299E-2</v>
      </c>
      <c r="P58" s="9">
        <v>3.5422343324250698E-2</v>
      </c>
      <c r="Q58" s="9">
        <v>8.33</v>
      </c>
      <c r="R58" s="9">
        <v>98</v>
      </c>
      <c r="S58" s="9">
        <v>98</v>
      </c>
      <c r="T58" s="9">
        <v>25907</v>
      </c>
      <c r="U58" s="9">
        <v>196</v>
      </c>
      <c r="V58" s="9">
        <v>26103</v>
      </c>
      <c r="W58" s="9">
        <v>4</v>
      </c>
      <c r="X58" s="9">
        <v>25907</v>
      </c>
      <c r="Y58" s="9">
        <v>196</v>
      </c>
      <c r="Z58" s="9">
        <v>26103</v>
      </c>
      <c r="AA58" s="9">
        <v>9828</v>
      </c>
      <c r="AB58" s="9">
        <v>9828</v>
      </c>
      <c r="AC58" s="9">
        <v>0</v>
      </c>
      <c r="AD58" s="9">
        <v>0</v>
      </c>
      <c r="AE58" s="9">
        <v>7.3970000000000002</v>
      </c>
      <c r="AF58" s="9">
        <v>0.877</v>
      </c>
      <c r="AG58" s="9">
        <v>3.0000000000000001E-3</v>
      </c>
      <c r="AH58" s="9">
        <v>5.1999999999999998E-2</v>
      </c>
      <c r="AI58" s="9">
        <v>0.129</v>
      </c>
      <c r="AJ58" s="9">
        <v>0</v>
      </c>
      <c r="AK58" s="9">
        <v>0</v>
      </c>
      <c r="AL58" s="9">
        <v>2E-3</v>
      </c>
      <c r="AM58" s="9">
        <v>8.0000000000000002E-3</v>
      </c>
      <c r="AN58" s="9">
        <v>0.65700000000000003</v>
      </c>
      <c r="AO58" s="9">
        <v>8.9999999999999993E-3</v>
      </c>
      <c r="AP58" s="9">
        <v>1.7000000000000001E-2</v>
      </c>
      <c r="AQ58" s="9">
        <v>1.0999999999999999E-2</v>
      </c>
      <c r="AR58" s="9">
        <v>0.01</v>
      </c>
      <c r="AS58" s="9">
        <v>1.4E-2</v>
      </c>
      <c r="AT58" s="9">
        <v>19</v>
      </c>
      <c r="AU58" s="9">
        <v>26</v>
      </c>
      <c r="AV58" s="9" t="b">
        <v>0</v>
      </c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9">
        <v>96</v>
      </c>
      <c r="CZ58" s="9">
        <v>1372</v>
      </c>
      <c r="DA58" s="9">
        <v>26</v>
      </c>
      <c r="DB58" s="9">
        <v>70</v>
      </c>
      <c r="DC58" s="9">
        <v>1346</v>
      </c>
      <c r="DD58" s="9">
        <v>0.27083333333333298</v>
      </c>
      <c r="DE58" s="9">
        <v>1.8950437317784299E-2</v>
      </c>
      <c r="DF58" s="9">
        <v>3.5422343324250698E-2</v>
      </c>
    </row>
    <row r="59" spans="1:110" ht="16" customHeight="1" x14ac:dyDescent="0.2">
      <c r="A59" s="8" t="s">
        <v>41</v>
      </c>
      <c r="B59" s="9" t="s">
        <v>255</v>
      </c>
      <c r="C59" s="9" t="s">
        <v>254</v>
      </c>
      <c r="D59" s="9" t="s">
        <v>174</v>
      </c>
      <c r="E59" s="9" t="s">
        <v>187</v>
      </c>
      <c r="F59" s="9" t="s">
        <v>176</v>
      </c>
      <c r="G59" s="9">
        <v>0.5</v>
      </c>
      <c r="H59" s="9">
        <v>2</v>
      </c>
      <c r="I59" s="9" t="s">
        <v>177</v>
      </c>
      <c r="J59" s="9" t="s">
        <v>178</v>
      </c>
      <c r="K59" s="9" t="s">
        <v>179</v>
      </c>
      <c r="L59" s="9" t="s">
        <v>180</v>
      </c>
      <c r="M59" s="9">
        <v>192</v>
      </c>
      <c r="N59" s="9">
        <v>0.21875</v>
      </c>
      <c r="O59" s="9">
        <v>3.06122448979592E-2</v>
      </c>
      <c r="P59" s="9">
        <v>5.3708439897698197E-2</v>
      </c>
      <c r="Q59" s="9">
        <v>8.85</v>
      </c>
      <c r="R59" s="9">
        <v>196</v>
      </c>
      <c r="S59" s="9">
        <v>196</v>
      </c>
      <c r="T59" s="9">
        <v>50357</v>
      </c>
      <c r="U59" s="9">
        <v>392</v>
      </c>
      <c r="V59" s="9">
        <v>50749</v>
      </c>
      <c r="W59" s="9">
        <v>7</v>
      </c>
      <c r="X59" s="9">
        <v>50357</v>
      </c>
      <c r="Y59" s="9">
        <v>392</v>
      </c>
      <c r="Z59" s="9">
        <v>50749</v>
      </c>
      <c r="AA59" s="9">
        <v>9828</v>
      </c>
      <c r="AB59" s="9">
        <v>9828</v>
      </c>
      <c r="AC59" s="9">
        <v>0</v>
      </c>
      <c r="AD59" s="9">
        <v>0</v>
      </c>
      <c r="AE59" s="9">
        <v>7.5730000000000004</v>
      </c>
      <c r="AF59" s="9">
        <v>1.2230000000000001</v>
      </c>
      <c r="AG59" s="9">
        <v>4.0000000000000001E-3</v>
      </c>
      <c r="AH59" s="9">
        <v>5.5E-2</v>
      </c>
      <c r="AI59" s="9">
        <v>0.128</v>
      </c>
      <c r="AJ59" s="9">
        <v>0</v>
      </c>
      <c r="AK59" s="9">
        <v>0</v>
      </c>
      <c r="AL59" s="9">
        <v>2E-3</v>
      </c>
      <c r="AM59" s="9">
        <v>0</v>
      </c>
      <c r="AN59" s="9">
        <v>1.002</v>
      </c>
      <c r="AO59" s="9">
        <v>8.9999999999999993E-3</v>
      </c>
      <c r="AP59" s="9">
        <v>1.6E-2</v>
      </c>
      <c r="AQ59" s="9">
        <v>1.0999999999999999E-2</v>
      </c>
      <c r="AR59" s="9">
        <v>1.2999999999999999E-2</v>
      </c>
      <c r="AS59" s="9">
        <v>1.4E-2</v>
      </c>
      <c r="AT59" s="9">
        <v>24</v>
      </c>
      <c r="AU59" s="9">
        <v>27</v>
      </c>
      <c r="AV59" s="9" t="b">
        <v>0</v>
      </c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9">
        <v>192</v>
      </c>
      <c r="CZ59" s="9">
        <v>1372</v>
      </c>
      <c r="DA59" s="9">
        <v>42</v>
      </c>
      <c r="DB59" s="9">
        <v>150</v>
      </c>
      <c r="DC59" s="9">
        <v>1330</v>
      </c>
      <c r="DD59" s="9">
        <v>0.21875</v>
      </c>
      <c r="DE59" s="9">
        <v>3.06122448979592E-2</v>
      </c>
      <c r="DF59" s="9">
        <v>5.3708439897698197E-2</v>
      </c>
    </row>
    <row r="60" spans="1:110" ht="16" customHeight="1" x14ac:dyDescent="0.2">
      <c r="A60" s="8" t="s">
        <v>41</v>
      </c>
      <c r="B60" s="9" t="s">
        <v>256</v>
      </c>
      <c r="C60" s="9" t="s">
        <v>254</v>
      </c>
      <c r="D60" s="9" t="s">
        <v>174</v>
      </c>
      <c r="E60" s="9" t="s">
        <v>187</v>
      </c>
      <c r="F60" s="9" t="s">
        <v>176</v>
      </c>
      <c r="G60" s="9">
        <v>0.5</v>
      </c>
      <c r="H60" s="9">
        <v>3</v>
      </c>
      <c r="I60" s="9" t="s">
        <v>177</v>
      </c>
      <c r="J60" s="9" t="s">
        <v>178</v>
      </c>
      <c r="K60" s="9" t="s">
        <v>179</v>
      </c>
      <c r="L60" s="9" t="s">
        <v>180</v>
      </c>
      <c r="M60" s="9">
        <v>465</v>
      </c>
      <c r="N60" s="9">
        <v>0.24086021505376301</v>
      </c>
      <c r="O60" s="9">
        <v>8.1632653061224497E-2</v>
      </c>
      <c r="P60" s="9">
        <v>0.121937942297224</v>
      </c>
      <c r="Q60" s="9">
        <v>9.52</v>
      </c>
      <c r="R60" s="9">
        <v>294</v>
      </c>
      <c r="S60" s="9">
        <v>294</v>
      </c>
      <c r="T60" s="9">
        <v>72275</v>
      </c>
      <c r="U60" s="9">
        <v>650</v>
      </c>
      <c r="V60" s="9">
        <v>72925</v>
      </c>
      <c r="W60" s="9">
        <v>10</v>
      </c>
      <c r="X60" s="9">
        <v>72275</v>
      </c>
      <c r="Y60" s="9">
        <v>650</v>
      </c>
      <c r="Z60" s="9">
        <v>72925</v>
      </c>
      <c r="AA60" s="9">
        <v>9828</v>
      </c>
      <c r="AB60" s="9">
        <v>9828</v>
      </c>
      <c r="AC60" s="9">
        <v>0</v>
      </c>
      <c r="AD60" s="9">
        <v>0</v>
      </c>
      <c r="AE60" s="9">
        <v>7.2519999999999998</v>
      </c>
      <c r="AF60" s="9">
        <v>2.2149999999999999</v>
      </c>
      <c r="AG60" s="9">
        <v>4.0000000000000001E-3</v>
      </c>
      <c r="AH60" s="9">
        <v>4.8000000000000001E-2</v>
      </c>
      <c r="AI60" s="9">
        <v>0.126</v>
      </c>
      <c r="AJ60" s="9">
        <v>0</v>
      </c>
      <c r="AK60" s="9">
        <v>0</v>
      </c>
      <c r="AL60" s="9">
        <v>2E-3</v>
      </c>
      <c r="AM60" s="9">
        <v>0</v>
      </c>
      <c r="AN60" s="9">
        <v>2</v>
      </c>
      <c r="AO60" s="9">
        <v>8.9999999999999993E-3</v>
      </c>
      <c r="AP60" s="9">
        <v>1.4999999999999999E-2</v>
      </c>
      <c r="AQ60" s="9">
        <v>0.01</v>
      </c>
      <c r="AR60" s="9">
        <v>1.2E-2</v>
      </c>
      <c r="AS60" s="9">
        <v>1.2E-2</v>
      </c>
      <c r="AT60" s="9">
        <v>26</v>
      </c>
      <c r="AU60" s="9">
        <v>28</v>
      </c>
      <c r="AV60" s="9" t="b">
        <v>0</v>
      </c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9">
        <v>465</v>
      </c>
      <c r="CZ60" s="9">
        <v>1372</v>
      </c>
      <c r="DA60" s="9">
        <v>112</v>
      </c>
      <c r="DB60" s="9">
        <v>353</v>
      </c>
      <c r="DC60" s="9">
        <v>1260</v>
      </c>
      <c r="DD60" s="9">
        <v>0.24086021505376301</v>
      </c>
      <c r="DE60" s="9">
        <v>8.1632653061224497E-2</v>
      </c>
      <c r="DF60" s="9">
        <v>0.121937942297224</v>
      </c>
    </row>
    <row r="61" spans="1:110" ht="16" customHeight="1" x14ac:dyDescent="0.2">
      <c r="A61" s="8" t="s">
        <v>41</v>
      </c>
      <c r="B61" s="9" t="s">
        <v>257</v>
      </c>
      <c r="C61" s="9" t="s">
        <v>254</v>
      </c>
      <c r="D61" s="9" t="s">
        <v>174</v>
      </c>
      <c r="E61" s="9" t="s">
        <v>187</v>
      </c>
      <c r="F61" s="9" t="s">
        <v>176</v>
      </c>
      <c r="G61" s="9">
        <v>0.5</v>
      </c>
      <c r="H61" s="9">
        <v>4</v>
      </c>
      <c r="I61" s="9" t="s">
        <v>177</v>
      </c>
      <c r="J61" s="9" t="s">
        <v>178</v>
      </c>
      <c r="K61" s="9" t="s">
        <v>179</v>
      </c>
      <c r="L61" s="9" t="s">
        <v>180</v>
      </c>
      <c r="M61" s="9">
        <v>264</v>
      </c>
      <c r="N61" s="9">
        <v>0.27272727272727298</v>
      </c>
      <c r="O61" s="9">
        <v>5.2478134110787202E-2</v>
      </c>
      <c r="P61" s="9">
        <v>8.8019559902200506E-2</v>
      </c>
      <c r="Q61" s="9">
        <v>9.6</v>
      </c>
      <c r="R61" s="9">
        <v>393</v>
      </c>
      <c r="S61" s="9">
        <v>393</v>
      </c>
      <c r="T61" s="9">
        <v>99791</v>
      </c>
      <c r="U61" s="9">
        <v>786</v>
      </c>
      <c r="V61" s="9">
        <v>100577</v>
      </c>
      <c r="W61" s="9">
        <v>13</v>
      </c>
      <c r="X61" s="9">
        <v>99791</v>
      </c>
      <c r="Y61" s="9">
        <v>786</v>
      </c>
      <c r="Z61" s="9">
        <v>100577</v>
      </c>
      <c r="AA61" s="9">
        <v>9828</v>
      </c>
      <c r="AB61" s="9">
        <v>9828</v>
      </c>
      <c r="AC61" s="9">
        <v>0</v>
      </c>
      <c r="AD61" s="9">
        <v>0</v>
      </c>
      <c r="AE61" s="9">
        <v>7.01</v>
      </c>
      <c r="AF61" s="9">
        <v>2.5409999999999999</v>
      </c>
      <c r="AG61" s="9">
        <v>4.0000000000000001E-3</v>
      </c>
      <c r="AH61" s="9">
        <v>4.7E-2</v>
      </c>
      <c r="AI61" s="9">
        <v>0.13</v>
      </c>
      <c r="AJ61" s="9">
        <v>0</v>
      </c>
      <c r="AK61" s="9">
        <v>0</v>
      </c>
      <c r="AL61" s="9">
        <v>3.0000000000000001E-3</v>
      </c>
      <c r="AM61" s="9">
        <v>0</v>
      </c>
      <c r="AN61" s="9">
        <v>2.3159999999999998</v>
      </c>
      <c r="AO61" s="9">
        <v>0.01</v>
      </c>
      <c r="AP61" s="9">
        <v>1.4999999999999999E-2</v>
      </c>
      <c r="AQ61" s="9">
        <v>0.01</v>
      </c>
      <c r="AR61" s="9">
        <v>1.0999999999999999E-2</v>
      </c>
      <c r="AS61" s="9">
        <v>1.0999999999999999E-2</v>
      </c>
      <c r="AT61" s="9">
        <v>24</v>
      </c>
      <c r="AU61" s="9">
        <v>25</v>
      </c>
      <c r="AV61" s="9" t="b">
        <v>0</v>
      </c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9">
        <v>264</v>
      </c>
      <c r="CZ61" s="9">
        <v>1372</v>
      </c>
      <c r="DA61" s="9">
        <v>72</v>
      </c>
      <c r="DB61" s="9">
        <v>192</v>
      </c>
      <c r="DC61" s="9">
        <v>1300</v>
      </c>
      <c r="DD61" s="9">
        <v>0.27272727272727298</v>
      </c>
      <c r="DE61" s="9">
        <v>5.2478134110787202E-2</v>
      </c>
      <c r="DF61" s="9">
        <v>8.8019559902200506E-2</v>
      </c>
    </row>
    <row r="62" spans="1:110" ht="16" customHeight="1" x14ac:dyDescent="0.2">
      <c r="A62" s="8" t="s">
        <v>41</v>
      </c>
      <c r="B62" s="9" t="s">
        <v>258</v>
      </c>
      <c r="C62" s="9" t="s">
        <v>254</v>
      </c>
      <c r="D62" s="9" t="s">
        <v>174</v>
      </c>
      <c r="E62" s="9" t="s">
        <v>187</v>
      </c>
      <c r="F62" s="9" t="s">
        <v>176</v>
      </c>
      <c r="G62" s="9">
        <v>0.5</v>
      </c>
      <c r="H62" s="9">
        <v>5</v>
      </c>
      <c r="I62" s="9" t="s">
        <v>177</v>
      </c>
      <c r="J62" s="9" t="s">
        <v>178</v>
      </c>
      <c r="K62" s="9" t="s">
        <v>179</v>
      </c>
      <c r="L62" s="9" t="s">
        <v>180</v>
      </c>
      <c r="M62" s="9">
        <v>503</v>
      </c>
      <c r="N62" s="9">
        <v>0.27236580516898601</v>
      </c>
      <c r="O62" s="9">
        <v>9.9854227405247797E-2</v>
      </c>
      <c r="P62" s="9">
        <v>0.146133333333333</v>
      </c>
      <c r="Q62" s="9">
        <v>10.59</v>
      </c>
      <c r="R62" s="9">
        <v>491</v>
      </c>
      <c r="S62" s="9">
        <v>491</v>
      </c>
      <c r="T62" s="9">
        <v>127000</v>
      </c>
      <c r="U62" s="9">
        <v>982</v>
      </c>
      <c r="V62" s="9">
        <v>127982</v>
      </c>
      <c r="W62" s="9">
        <v>16</v>
      </c>
      <c r="X62" s="9">
        <v>127000</v>
      </c>
      <c r="Y62" s="9">
        <v>982</v>
      </c>
      <c r="Z62" s="9">
        <v>127982</v>
      </c>
      <c r="AA62" s="9">
        <v>9828</v>
      </c>
      <c r="AB62" s="9">
        <v>9828</v>
      </c>
      <c r="AC62" s="9">
        <v>0</v>
      </c>
      <c r="AD62" s="9">
        <v>0</v>
      </c>
      <c r="AE62" s="9">
        <v>7.4820000000000002</v>
      </c>
      <c r="AF62" s="9">
        <v>3.0430000000000001</v>
      </c>
      <c r="AG62" s="9">
        <v>5.0000000000000001E-3</v>
      </c>
      <c r="AH62" s="9">
        <v>5.7000000000000002E-2</v>
      </c>
      <c r="AI62" s="9">
        <v>0.13700000000000001</v>
      </c>
      <c r="AJ62" s="9">
        <v>0</v>
      </c>
      <c r="AK62" s="9">
        <v>0</v>
      </c>
      <c r="AL62" s="9">
        <v>2E-3</v>
      </c>
      <c r="AM62" s="9">
        <v>0</v>
      </c>
      <c r="AN62" s="9">
        <v>2.81</v>
      </c>
      <c r="AO62" s="9">
        <v>0.01</v>
      </c>
      <c r="AP62" s="9">
        <v>1.6E-2</v>
      </c>
      <c r="AQ62" s="9">
        <v>1.0999999999999999E-2</v>
      </c>
      <c r="AR62" s="9">
        <v>1.4999999999999999E-2</v>
      </c>
      <c r="AS62" s="9">
        <v>1.4999999999999999E-2</v>
      </c>
      <c r="AT62" s="9">
        <v>27</v>
      </c>
      <c r="AU62" s="9">
        <v>28</v>
      </c>
      <c r="AV62" s="9" t="b">
        <v>0</v>
      </c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9">
        <v>503</v>
      </c>
      <c r="CZ62" s="9">
        <v>1372</v>
      </c>
      <c r="DA62" s="9">
        <v>137</v>
      </c>
      <c r="DB62" s="9">
        <v>366</v>
      </c>
      <c r="DC62" s="9">
        <v>1235</v>
      </c>
      <c r="DD62" s="9">
        <v>0.27236580516898601</v>
      </c>
      <c r="DE62" s="9">
        <v>9.9854227405247797E-2</v>
      </c>
      <c r="DF62" s="9">
        <v>0.146133333333333</v>
      </c>
    </row>
    <row r="63" spans="1:110" ht="16" customHeight="1" x14ac:dyDescent="0.2">
      <c r="A63" s="8" t="s">
        <v>41</v>
      </c>
      <c r="B63" s="9" t="s">
        <v>259</v>
      </c>
      <c r="C63" s="9" t="s">
        <v>254</v>
      </c>
      <c r="D63" s="9" t="s">
        <v>174</v>
      </c>
      <c r="E63" s="9" t="s">
        <v>187</v>
      </c>
      <c r="F63" s="9" t="s">
        <v>176</v>
      </c>
      <c r="G63" s="9">
        <v>0.5</v>
      </c>
      <c r="H63" s="9">
        <v>6</v>
      </c>
      <c r="I63" s="9" t="s">
        <v>177</v>
      </c>
      <c r="J63" s="9" t="s">
        <v>178</v>
      </c>
      <c r="K63" s="9" t="s">
        <v>179</v>
      </c>
      <c r="L63" s="9" t="s">
        <v>180</v>
      </c>
      <c r="M63" s="9">
        <v>320</v>
      </c>
      <c r="N63" s="9">
        <v>0.328125</v>
      </c>
      <c r="O63" s="9">
        <v>7.6530612244898003E-2</v>
      </c>
      <c r="P63" s="9">
        <v>0.124113475177305</v>
      </c>
      <c r="Q63" s="9">
        <v>11.16</v>
      </c>
      <c r="R63" s="9">
        <v>589</v>
      </c>
      <c r="S63" s="9">
        <v>589</v>
      </c>
      <c r="T63" s="9">
        <v>154809</v>
      </c>
      <c r="U63" s="9">
        <v>1178</v>
      </c>
      <c r="V63" s="9">
        <v>155987</v>
      </c>
      <c r="W63" s="9">
        <v>19</v>
      </c>
      <c r="X63" s="9">
        <v>154809</v>
      </c>
      <c r="Y63" s="9">
        <v>1178</v>
      </c>
      <c r="Z63" s="9">
        <v>155987</v>
      </c>
      <c r="AA63" s="9">
        <v>9828</v>
      </c>
      <c r="AB63" s="9">
        <v>9828</v>
      </c>
      <c r="AC63" s="9">
        <v>0</v>
      </c>
      <c r="AD63" s="9">
        <v>0</v>
      </c>
      <c r="AE63" s="9">
        <v>7.4509999999999996</v>
      </c>
      <c r="AF63" s="9">
        <v>3.6520000000000001</v>
      </c>
      <c r="AG63" s="9">
        <v>6.0000000000000001E-3</v>
      </c>
      <c r="AH63" s="9">
        <v>4.8000000000000001E-2</v>
      </c>
      <c r="AI63" s="9">
        <v>0.16300000000000001</v>
      </c>
      <c r="AJ63" s="9">
        <v>0</v>
      </c>
      <c r="AK63" s="9">
        <v>0</v>
      </c>
      <c r="AL63" s="9">
        <v>2E-3</v>
      </c>
      <c r="AM63" s="9">
        <v>0</v>
      </c>
      <c r="AN63" s="9">
        <v>3.3959999999999999</v>
      </c>
      <c r="AO63" s="9">
        <v>0.01</v>
      </c>
      <c r="AP63" s="9">
        <v>1.4999999999999999E-2</v>
      </c>
      <c r="AQ63" s="9">
        <v>0.01</v>
      </c>
      <c r="AR63" s="9">
        <v>1.2E-2</v>
      </c>
      <c r="AS63" s="9">
        <v>1.2E-2</v>
      </c>
      <c r="AT63" s="9">
        <v>26</v>
      </c>
      <c r="AU63" s="9">
        <v>27</v>
      </c>
      <c r="AV63" s="9" t="b">
        <v>0</v>
      </c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9">
        <v>320</v>
      </c>
      <c r="CZ63" s="9">
        <v>1372</v>
      </c>
      <c r="DA63" s="9">
        <v>105</v>
      </c>
      <c r="DB63" s="9">
        <v>215</v>
      </c>
      <c r="DC63" s="9">
        <v>1267</v>
      </c>
      <c r="DD63" s="9">
        <v>0.328125</v>
      </c>
      <c r="DE63" s="9">
        <v>7.6530612244898003E-2</v>
      </c>
      <c r="DF63" s="9">
        <v>0.124113475177305</v>
      </c>
    </row>
    <row r="64" spans="1:110" ht="16" customHeight="1" x14ac:dyDescent="0.2">
      <c r="A64" s="8" t="s">
        <v>41</v>
      </c>
      <c r="B64" s="9" t="s">
        <v>260</v>
      </c>
      <c r="C64" s="9" t="s">
        <v>254</v>
      </c>
      <c r="D64" s="9" t="s">
        <v>174</v>
      </c>
      <c r="E64" s="9" t="s">
        <v>187</v>
      </c>
      <c r="F64" s="9" t="s">
        <v>176</v>
      </c>
      <c r="G64" s="9">
        <v>0.5</v>
      </c>
      <c r="H64" s="9">
        <v>7</v>
      </c>
      <c r="I64" s="9" t="s">
        <v>177</v>
      </c>
      <c r="J64" s="9" t="s">
        <v>178</v>
      </c>
      <c r="K64" s="9" t="s">
        <v>179</v>
      </c>
      <c r="L64" s="9" t="s">
        <v>180</v>
      </c>
      <c r="M64" s="9">
        <v>313</v>
      </c>
      <c r="N64" s="9">
        <v>0.33865814696485602</v>
      </c>
      <c r="O64" s="9">
        <v>7.7259475218658905E-2</v>
      </c>
      <c r="P64" s="9">
        <v>0.12581602373887199</v>
      </c>
      <c r="Q64" s="9">
        <v>11.11</v>
      </c>
      <c r="R64" s="9">
        <v>687</v>
      </c>
      <c r="S64" s="9">
        <v>687</v>
      </c>
      <c r="T64" s="9">
        <v>181358</v>
      </c>
      <c r="U64" s="9">
        <v>1374</v>
      </c>
      <c r="V64" s="9">
        <v>182732</v>
      </c>
      <c r="W64" s="9">
        <v>22</v>
      </c>
      <c r="X64" s="9">
        <v>181358</v>
      </c>
      <c r="Y64" s="9">
        <v>1374</v>
      </c>
      <c r="Z64" s="9">
        <v>182732</v>
      </c>
      <c r="AA64" s="9">
        <v>9828</v>
      </c>
      <c r="AB64" s="9">
        <v>9828</v>
      </c>
      <c r="AC64" s="9">
        <v>0</v>
      </c>
      <c r="AD64" s="9">
        <v>0</v>
      </c>
      <c r="AE64" s="9">
        <v>7.0339999999999998</v>
      </c>
      <c r="AF64" s="9">
        <v>4.0220000000000002</v>
      </c>
      <c r="AG64" s="9">
        <v>5.0000000000000001E-3</v>
      </c>
      <c r="AH64" s="9">
        <v>4.8000000000000001E-2</v>
      </c>
      <c r="AI64" s="9">
        <v>0.12</v>
      </c>
      <c r="AJ64" s="9">
        <v>0</v>
      </c>
      <c r="AK64" s="9">
        <v>0</v>
      </c>
      <c r="AL64" s="9">
        <v>2E-3</v>
      </c>
      <c r="AM64" s="9">
        <v>0</v>
      </c>
      <c r="AN64" s="9">
        <v>3.8159999999999998</v>
      </c>
      <c r="AO64" s="9">
        <v>8.9999999999999993E-3</v>
      </c>
      <c r="AP64" s="9">
        <v>1.4999999999999999E-2</v>
      </c>
      <c r="AQ64" s="9">
        <v>0.01</v>
      </c>
      <c r="AR64" s="9">
        <v>1.2E-2</v>
      </c>
      <c r="AS64" s="9">
        <v>1.2E-2</v>
      </c>
      <c r="AT64" s="9">
        <v>26</v>
      </c>
      <c r="AU64" s="9">
        <v>27</v>
      </c>
      <c r="AV64" s="9" t="b">
        <v>0</v>
      </c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9">
        <v>313</v>
      </c>
      <c r="CZ64" s="9">
        <v>1372</v>
      </c>
      <c r="DA64" s="9">
        <v>106</v>
      </c>
      <c r="DB64" s="9">
        <v>207</v>
      </c>
      <c r="DC64" s="9">
        <v>1266</v>
      </c>
      <c r="DD64" s="9">
        <v>0.33865814696485602</v>
      </c>
      <c r="DE64" s="9">
        <v>7.7259475218658905E-2</v>
      </c>
      <c r="DF64" s="9">
        <v>0.12581602373887199</v>
      </c>
    </row>
    <row r="65" spans="1:110" s="4" customFormat="1" ht="16" customHeight="1" x14ac:dyDescent="0.2">
      <c r="A65" s="21" t="s">
        <v>41</v>
      </c>
      <c r="B65" s="20" t="s">
        <v>261</v>
      </c>
      <c r="C65" s="20" t="s">
        <v>254</v>
      </c>
      <c r="D65" s="20" t="s">
        <v>174</v>
      </c>
      <c r="E65" s="20" t="s">
        <v>187</v>
      </c>
      <c r="F65" s="20" t="s">
        <v>176</v>
      </c>
      <c r="G65" s="20">
        <v>0.5</v>
      </c>
      <c r="H65" s="20">
        <v>8</v>
      </c>
      <c r="I65" s="20" t="s">
        <v>177</v>
      </c>
      <c r="J65" s="20" t="s">
        <v>178</v>
      </c>
      <c r="K65" s="20" t="s">
        <v>179</v>
      </c>
      <c r="L65" s="20" t="s">
        <v>180</v>
      </c>
      <c r="M65" s="20">
        <v>416</v>
      </c>
      <c r="N65" s="20">
        <v>0.29567307692307698</v>
      </c>
      <c r="O65" s="20">
        <v>8.9650145772594794E-2</v>
      </c>
      <c r="P65" s="20">
        <v>0.13758389261744999</v>
      </c>
      <c r="Q65" s="20">
        <v>12.75</v>
      </c>
      <c r="R65" s="20">
        <v>786</v>
      </c>
      <c r="S65" s="20">
        <v>786</v>
      </c>
      <c r="T65" s="20">
        <v>203777</v>
      </c>
      <c r="U65" s="20">
        <v>1670</v>
      </c>
      <c r="V65" s="20">
        <v>205447</v>
      </c>
      <c r="W65" s="20">
        <v>25</v>
      </c>
      <c r="X65" s="20">
        <v>203777</v>
      </c>
      <c r="Y65" s="20">
        <v>1670</v>
      </c>
      <c r="Z65" s="20">
        <v>205447</v>
      </c>
      <c r="AA65" s="20">
        <v>9828</v>
      </c>
      <c r="AB65" s="20">
        <v>9828</v>
      </c>
      <c r="AC65" s="20">
        <v>0</v>
      </c>
      <c r="AD65" s="20">
        <v>0</v>
      </c>
      <c r="AE65" s="20">
        <v>7.508</v>
      </c>
      <c r="AF65" s="20">
        <v>5.1920000000000002</v>
      </c>
      <c r="AG65" s="20">
        <v>6.0000000000000001E-3</v>
      </c>
      <c r="AH65" s="20">
        <v>4.7E-2</v>
      </c>
      <c r="AI65" s="20">
        <v>0.11899999999999999</v>
      </c>
      <c r="AJ65" s="20">
        <v>0</v>
      </c>
      <c r="AK65" s="20">
        <v>0</v>
      </c>
      <c r="AL65" s="20">
        <v>2E-3</v>
      </c>
      <c r="AM65" s="20">
        <v>0</v>
      </c>
      <c r="AN65" s="20">
        <v>4.9850000000000003</v>
      </c>
      <c r="AO65" s="20">
        <v>8.9999999999999993E-3</v>
      </c>
      <c r="AP65" s="20">
        <v>1.4999999999999999E-2</v>
      </c>
      <c r="AQ65" s="20">
        <v>0.01</v>
      </c>
      <c r="AR65" s="20">
        <v>1.2E-2</v>
      </c>
      <c r="AS65" s="20">
        <v>1.0999999999999999E-2</v>
      </c>
      <c r="AT65" s="20">
        <v>26</v>
      </c>
      <c r="AU65" s="20">
        <v>25</v>
      </c>
      <c r="AV65" s="20" t="b">
        <v>0</v>
      </c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0">
        <v>416</v>
      </c>
      <c r="CZ65" s="20">
        <v>1372</v>
      </c>
      <c r="DA65" s="20">
        <v>123</v>
      </c>
      <c r="DB65" s="20">
        <v>293</v>
      </c>
      <c r="DC65" s="20">
        <v>1249</v>
      </c>
      <c r="DD65" s="20">
        <v>0.29567307692307698</v>
      </c>
      <c r="DE65" s="20">
        <v>8.9650145772594794E-2</v>
      </c>
      <c r="DF65" s="20">
        <v>0.13758389261744999</v>
      </c>
    </row>
    <row r="66" spans="1:110" ht="16" customHeight="1" x14ac:dyDescent="0.2">
      <c r="A66" s="8" t="s">
        <v>41</v>
      </c>
      <c r="B66" s="9" t="s">
        <v>262</v>
      </c>
      <c r="C66" s="9" t="s">
        <v>254</v>
      </c>
      <c r="D66" s="9" t="s">
        <v>174</v>
      </c>
      <c r="E66" s="9" t="s">
        <v>187</v>
      </c>
      <c r="F66" s="9" t="s">
        <v>176</v>
      </c>
      <c r="G66" s="9">
        <v>0.5</v>
      </c>
      <c r="H66" s="9">
        <v>9</v>
      </c>
      <c r="I66" s="9" t="s">
        <v>177</v>
      </c>
      <c r="J66" s="9" t="s">
        <v>178</v>
      </c>
      <c r="K66" s="9" t="s">
        <v>179</v>
      </c>
      <c r="L66" s="9" t="s">
        <v>180</v>
      </c>
      <c r="M66" s="9">
        <v>370</v>
      </c>
      <c r="N66" s="9">
        <v>0.36756756756756798</v>
      </c>
      <c r="O66" s="9">
        <v>9.9125364431486895E-2</v>
      </c>
      <c r="P66" s="9">
        <v>0.156142365097589</v>
      </c>
      <c r="Q66" s="9">
        <v>12.31</v>
      </c>
      <c r="R66" s="9">
        <v>884</v>
      </c>
      <c r="S66" s="9">
        <v>884</v>
      </c>
      <c r="T66" s="9">
        <v>226625</v>
      </c>
      <c r="U66" s="9">
        <v>1768</v>
      </c>
      <c r="V66" s="9">
        <v>228393</v>
      </c>
      <c r="W66" s="9">
        <v>28</v>
      </c>
      <c r="X66" s="9">
        <v>226625</v>
      </c>
      <c r="Y66" s="9">
        <v>1768</v>
      </c>
      <c r="Z66" s="9">
        <v>228393</v>
      </c>
      <c r="AA66" s="9">
        <v>9828</v>
      </c>
      <c r="AB66" s="9">
        <v>9828</v>
      </c>
      <c r="AC66" s="9">
        <v>0</v>
      </c>
      <c r="AD66" s="9">
        <v>0</v>
      </c>
      <c r="AE66" s="9">
        <v>6.7430000000000003</v>
      </c>
      <c r="AF66" s="9">
        <v>5.5190000000000001</v>
      </c>
      <c r="AG66" s="9">
        <v>6.0000000000000001E-3</v>
      </c>
      <c r="AH66" s="9">
        <v>4.5999999999999999E-2</v>
      </c>
      <c r="AI66" s="9">
        <v>0.121</v>
      </c>
      <c r="AJ66" s="9">
        <v>0</v>
      </c>
      <c r="AK66" s="9">
        <v>0</v>
      </c>
      <c r="AL66" s="9">
        <v>2E-3</v>
      </c>
      <c r="AM66" s="9">
        <v>0</v>
      </c>
      <c r="AN66" s="9">
        <v>5.3079999999999998</v>
      </c>
      <c r="AO66" s="9">
        <v>8.9999999999999993E-3</v>
      </c>
      <c r="AP66" s="9">
        <v>1.4999999999999999E-2</v>
      </c>
      <c r="AQ66" s="9">
        <v>0.01</v>
      </c>
      <c r="AR66" s="9">
        <v>1.0999999999999999E-2</v>
      </c>
      <c r="AS66" s="9">
        <v>1.0999999999999999E-2</v>
      </c>
      <c r="AT66" s="9">
        <v>24</v>
      </c>
      <c r="AU66" s="9">
        <v>24</v>
      </c>
      <c r="AV66" s="9" t="b">
        <v>0</v>
      </c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9">
        <v>370</v>
      </c>
      <c r="CZ66" s="9">
        <v>1372</v>
      </c>
      <c r="DA66" s="9">
        <v>136</v>
      </c>
      <c r="DB66" s="9">
        <v>234</v>
      </c>
      <c r="DC66" s="9">
        <v>1236</v>
      </c>
      <c r="DD66" s="9">
        <v>0.36756756756756798</v>
      </c>
      <c r="DE66" s="9">
        <v>9.9125364431486895E-2</v>
      </c>
      <c r="DF66" s="9">
        <v>0.156142365097589</v>
      </c>
    </row>
    <row r="67" spans="1:110" ht="16" customHeight="1" x14ac:dyDescent="0.2">
      <c r="A67" s="8" t="s">
        <v>41</v>
      </c>
      <c r="B67" s="9" t="s">
        <v>263</v>
      </c>
      <c r="C67" s="9" t="s">
        <v>254</v>
      </c>
      <c r="D67" s="9" t="s">
        <v>174</v>
      </c>
      <c r="E67" s="9" t="s">
        <v>187</v>
      </c>
      <c r="F67" s="9" t="s">
        <v>176</v>
      </c>
      <c r="G67" s="9">
        <v>0.5</v>
      </c>
      <c r="H67" s="9">
        <v>10</v>
      </c>
      <c r="I67" s="9" t="s">
        <v>177</v>
      </c>
      <c r="J67" s="9" t="s">
        <v>178</v>
      </c>
      <c r="K67" s="9" t="s">
        <v>179</v>
      </c>
      <c r="L67" s="9" t="s">
        <v>180</v>
      </c>
      <c r="M67" s="9">
        <v>420</v>
      </c>
      <c r="N67" s="9">
        <v>0.35714285714285698</v>
      </c>
      <c r="O67" s="9">
        <v>0.10932944606414</v>
      </c>
      <c r="P67" s="9">
        <v>0.167410714285714</v>
      </c>
      <c r="Q67" s="9">
        <v>13.5</v>
      </c>
      <c r="R67" s="9">
        <v>982</v>
      </c>
      <c r="S67" s="9">
        <v>982</v>
      </c>
      <c r="T67" s="9">
        <v>257891</v>
      </c>
      <c r="U67" s="9">
        <v>2026</v>
      </c>
      <c r="V67" s="9">
        <v>259917</v>
      </c>
      <c r="W67" s="9">
        <v>31</v>
      </c>
      <c r="X67" s="9">
        <v>257891</v>
      </c>
      <c r="Y67" s="9">
        <v>2026</v>
      </c>
      <c r="Z67" s="9">
        <v>259917</v>
      </c>
      <c r="AA67" s="9">
        <v>9828</v>
      </c>
      <c r="AB67" s="9">
        <v>9828</v>
      </c>
      <c r="AC67" s="9">
        <v>0</v>
      </c>
      <c r="AD67" s="9">
        <v>0</v>
      </c>
      <c r="AE67" s="9">
        <v>7.2969999999999997</v>
      </c>
      <c r="AF67" s="9">
        <v>6.1459999999999999</v>
      </c>
      <c r="AG67" s="9">
        <v>6.0000000000000001E-3</v>
      </c>
      <c r="AH67" s="9">
        <v>5.3999999999999999E-2</v>
      </c>
      <c r="AI67" s="9">
        <v>0.12</v>
      </c>
      <c r="AJ67" s="9">
        <v>0</v>
      </c>
      <c r="AK67" s="9">
        <v>0</v>
      </c>
      <c r="AL67" s="9">
        <v>2E-3</v>
      </c>
      <c r="AM67" s="9">
        <v>1E-3</v>
      </c>
      <c r="AN67" s="9">
        <v>5.9379999999999997</v>
      </c>
      <c r="AO67" s="9">
        <v>0.01</v>
      </c>
      <c r="AP67" s="9">
        <v>1.6E-2</v>
      </c>
      <c r="AQ67" s="9">
        <v>1.0999999999999999E-2</v>
      </c>
      <c r="AR67" s="9">
        <v>1.4E-2</v>
      </c>
      <c r="AS67" s="9">
        <v>1.2999999999999999E-2</v>
      </c>
      <c r="AT67" s="9">
        <v>25</v>
      </c>
      <c r="AU67" s="9">
        <v>24</v>
      </c>
      <c r="AV67" s="9" t="b">
        <v>0</v>
      </c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9">
        <v>420</v>
      </c>
      <c r="CZ67" s="9">
        <v>1372</v>
      </c>
      <c r="DA67" s="9">
        <v>150</v>
      </c>
      <c r="DB67" s="9">
        <v>270</v>
      </c>
      <c r="DC67" s="9">
        <v>1222</v>
      </c>
      <c r="DD67" s="9">
        <v>0.35714285714285698</v>
      </c>
      <c r="DE67" s="9">
        <v>0.10932944606414</v>
      </c>
      <c r="DF67" s="9">
        <v>0.167410714285714</v>
      </c>
    </row>
    <row r="68" spans="1:110" ht="16" customHeight="1" x14ac:dyDescent="0.2">
      <c r="A68" s="8" t="s">
        <v>41</v>
      </c>
      <c r="B68" s="9" t="s">
        <v>264</v>
      </c>
      <c r="C68" s="9" t="s">
        <v>265</v>
      </c>
      <c r="D68" s="9" t="s">
        <v>174</v>
      </c>
      <c r="E68" s="9" t="s">
        <v>175</v>
      </c>
      <c r="F68" s="9" t="s">
        <v>176</v>
      </c>
      <c r="G68" s="9">
        <v>0.5</v>
      </c>
      <c r="H68" s="9">
        <v>1</v>
      </c>
      <c r="I68" s="9" t="s">
        <v>177</v>
      </c>
      <c r="J68" s="9" t="s">
        <v>178</v>
      </c>
      <c r="K68" s="9" t="s">
        <v>179</v>
      </c>
      <c r="L68" s="9" t="s">
        <v>180</v>
      </c>
      <c r="M68" s="9">
        <v>3794</v>
      </c>
      <c r="N68" s="9">
        <v>0.14364786505007901</v>
      </c>
      <c r="O68" s="9">
        <v>0.39723032069970798</v>
      </c>
      <c r="P68" s="9">
        <v>0.21099496709252799</v>
      </c>
      <c r="Q68" s="9">
        <v>8.67</v>
      </c>
      <c r="R68" s="9">
        <v>98</v>
      </c>
      <c r="S68" s="9">
        <v>98</v>
      </c>
      <c r="T68" s="9">
        <v>26996</v>
      </c>
      <c r="U68" s="9">
        <v>196</v>
      </c>
      <c r="V68" s="9">
        <v>27192</v>
      </c>
      <c r="W68" s="9">
        <v>10</v>
      </c>
      <c r="X68" s="9">
        <v>26996</v>
      </c>
      <c r="Y68" s="9">
        <v>196</v>
      </c>
      <c r="Z68" s="9">
        <v>27192</v>
      </c>
      <c r="AA68" s="9">
        <v>9828</v>
      </c>
      <c r="AB68" s="9">
        <v>9828</v>
      </c>
      <c r="AC68" s="9">
        <v>0</v>
      </c>
      <c r="AD68" s="9">
        <v>0</v>
      </c>
      <c r="AE68" s="9">
        <v>7.2779999999999996</v>
      </c>
      <c r="AF68" s="9">
        <v>1.3720000000000001</v>
      </c>
      <c r="AG68" s="9">
        <v>2E-3</v>
      </c>
      <c r="AH68" s="9">
        <v>1.6E-2</v>
      </c>
      <c r="AI68" s="9">
        <v>0.126</v>
      </c>
      <c r="AJ68" s="9">
        <v>1.4E-2</v>
      </c>
      <c r="AK68" s="9">
        <v>0</v>
      </c>
      <c r="AL68" s="9">
        <v>0</v>
      </c>
      <c r="AM68" s="9">
        <v>7.9000000000000001E-2</v>
      </c>
      <c r="AN68" s="9">
        <v>1.036</v>
      </c>
      <c r="AO68" s="9">
        <v>1.6E-2</v>
      </c>
      <c r="AP68" s="9">
        <v>1.6E-2</v>
      </c>
      <c r="AQ68" s="9">
        <v>0</v>
      </c>
      <c r="AR68" s="9">
        <v>0</v>
      </c>
      <c r="AS68" s="9">
        <v>0</v>
      </c>
      <c r="AT68" s="9" t="s">
        <v>243</v>
      </c>
      <c r="AU68" s="9" t="s">
        <v>243</v>
      </c>
      <c r="AV68" s="9" t="b">
        <v>0</v>
      </c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9">
        <v>3794</v>
      </c>
      <c r="CZ68" s="9">
        <v>1372</v>
      </c>
      <c r="DA68" s="9">
        <v>545</v>
      </c>
      <c r="DB68" s="9">
        <v>3249</v>
      </c>
      <c r="DC68" s="9">
        <v>827</v>
      </c>
      <c r="DD68" s="9">
        <v>0.14364786505007901</v>
      </c>
      <c r="DE68" s="9">
        <v>0.39723032069970798</v>
      </c>
      <c r="DF68" s="9">
        <v>0.21099496709252799</v>
      </c>
    </row>
    <row r="69" spans="1:110" ht="16" customHeight="1" x14ac:dyDescent="0.2">
      <c r="A69" s="8" t="s">
        <v>41</v>
      </c>
      <c r="B69" s="9" t="s">
        <v>266</v>
      </c>
      <c r="C69" s="9" t="s">
        <v>265</v>
      </c>
      <c r="D69" s="9" t="s">
        <v>174</v>
      </c>
      <c r="E69" s="9" t="s">
        <v>175</v>
      </c>
      <c r="F69" s="9" t="s">
        <v>176</v>
      </c>
      <c r="G69" s="9">
        <v>0.5</v>
      </c>
      <c r="H69" s="9">
        <v>2</v>
      </c>
      <c r="I69" s="9" t="s">
        <v>177</v>
      </c>
      <c r="J69" s="9" t="s">
        <v>178</v>
      </c>
      <c r="K69" s="9" t="s">
        <v>179</v>
      </c>
      <c r="L69" s="9" t="s">
        <v>180</v>
      </c>
      <c r="M69" s="9">
        <v>2887</v>
      </c>
      <c r="N69" s="9">
        <v>0.14513335642535499</v>
      </c>
      <c r="O69" s="9">
        <v>0.305393586005831</v>
      </c>
      <c r="P69" s="9">
        <v>0.19675980277060301</v>
      </c>
      <c r="Q69" s="9">
        <v>9.0500000000000007</v>
      </c>
      <c r="R69" s="9">
        <v>196</v>
      </c>
      <c r="S69" s="9">
        <v>196</v>
      </c>
      <c r="T69" s="9">
        <v>50320</v>
      </c>
      <c r="U69" s="9">
        <v>392</v>
      </c>
      <c r="V69" s="9">
        <v>50712</v>
      </c>
      <c r="W69" s="9">
        <v>10</v>
      </c>
      <c r="X69" s="9">
        <v>50320</v>
      </c>
      <c r="Y69" s="9">
        <v>392</v>
      </c>
      <c r="Z69" s="9">
        <v>50712</v>
      </c>
      <c r="AA69" s="9">
        <v>9828</v>
      </c>
      <c r="AB69" s="9">
        <v>9828</v>
      </c>
      <c r="AC69" s="9">
        <v>0</v>
      </c>
      <c r="AD69" s="9">
        <v>0</v>
      </c>
      <c r="AE69" s="9">
        <v>7.2569999999999997</v>
      </c>
      <c r="AF69" s="9">
        <v>1.776</v>
      </c>
      <c r="AG69" s="9">
        <v>4.0000000000000001E-3</v>
      </c>
      <c r="AH69" s="9">
        <v>1.4999999999999999E-2</v>
      </c>
      <c r="AI69" s="9">
        <v>0.123</v>
      </c>
      <c r="AJ69" s="9">
        <v>1.4E-2</v>
      </c>
      <c r="AK69" s="9">
        <v>0</v>
      </c>
      <c r="AL69" s="9">
        <v>0</v>
      </c>
      <c r="AM69" s="9">
        <v>8.1000000000000003E-2</v>
      </c>
      <c r="AN69" s="9">
        <v>1.444</v>
      </c>
      <c r="AO69" s="9">
        <v>1.2999999999999999E-2</v>
      </c>
      <c r="AP69" s="9">
        <v>1.4999999999999999E-2</v>
      </c>
      <c r="AQ69" s="9">
        <v>0</v>
      </c>
      <c r="AR69" s="9">
        <v>0</v>
      </c>
      <c r="AS69" s="9">
        <v>0</v>
      </c>
      <c r="AT69" s="9" t="s">
        <v>243</v>
      </c>
      <c r="AU69" s="9" t="s">
        <v>243</v>
      </c>
      <c r="AV69" s="9" t="b">
        <v>0</v>
      </c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9">
        <v>2887</v>
      </c>
      <c r="CZ69" s="9">
        <v>1372</v>
      </c>
      <c r="DA69" s="9">
        <v>419</v>
      </c>
      <c r="DB69" s="9">
        <v>2468</v>
      </c>
      <c r="DC69" s="9">
        <v>953</v>
      </c>
      <c r="DD69" s="9">
        <v>0.14513335642535499</v>
      </c>
      <c r="DE69" s="9">
        <v>0.305393586005831</v>
      </c>
      <c r="DF69" s="9">
        <v>0.19675980277060301</v>
      </c>
    </row>
    <row r="70" spans="1:110" ht="16" customHeight="1" x14ac:dyDescent="0.2">
      <c r="A70" s="8" t="s">
        <v>41</v>
      </c>
      <c r="B70" s="9" t="s">
        <v>267</v>
      </c>
      <c r="C70" s="9" t="s">
        <v>265</v>
      </c>
      <c r="D70" s="9" t="s">
        <v>174</v>
      </c>
      <c r="E70" s="9" t="s">
        <v>175</v>
      </c>
      <c r="F70" s="9" t="s">
        <v>176</v>
      </c>
      <c r="G70" s="9">
        <v>0.5</v>
      </c>
      <c r="H70" s="9">
        <v>3</v>
      </c>
      <c r="I70" s="9" t="s">
        <v>177</v>
      </c>
      <c r="J70" s="9" t="s">
        <v>178</v>
      </c>
      <c r="K70" s="9" t="s">
        <v>179</v>
      </c>
      <c r="L70" s="9" t="s">
        <v>180</v>
      </c>
      <c r="M70" s="9">
        <v>3877</v>
      </c>
      <c r="N70" s="9">
        <v>0.191643022955894</v>
      </c>
      <c r="O70" s="9">
        <v>0.54154518950437303</v>
      </c>
      <c r="P70" s="9">
        <v>0.283101543151076</v>
      </c>
      <c r="Q70" s="9">
        <v>9.35</v>
      </c>
      <c r="R70" s="9">
        <v>294</v>
      </c>
      <c r="S70" s="9">
        <v>294</v>
      </c>
      <c r="T70" s="9">
        <v>75375</v>
      </c>
      <c r="U70" s="9">
        <v>588</v>
      </c>
      <c r="V70" s="9">
        <v>75963</v>
      </c>
      <c r="W70" s="9">
        <v>10</v>
      </c>
      <c r="X70" s="9">
        <v>75375</v>
      </c>
      <c r="Y70" s="9">
        <v>588</v>
      </c>
      <c r="Z70" s="9">
        <v>75963</v>
      </c>
      <c r="AA70" s="9">
        <v>9828</v>
      </c>
      <c r="AB70" s="9">
        <v>9828</v>
      </c>
      <c r="AC70" s="9">
        <v>0</v>
      </c>
      <c r="AD70" s="9">
        <v>0</v>
      </c>
      <c r="AE70" s="9">
        <v>7.2119999999999997</v>
      </c>
      <c r="AF70" s="9">
        <v>2.1230000000000002</v>
      </c>
      <c r="AG70" s="9">
        <v>4.0000000000000001E-3</v>
      </c>
      <c r="AH70" s="9">
        <v>1.6E-2</v>
      </c>
      <c r="AI70" s="9">
        <v>0.14699999999999999</v>
      </c>
      <c r="AJ70" s="9">
        <v>1.2999999999999999E-2</v>
      </c>
      <c r="AK70" s="9">
        <v>0</v>
      </c>
      <c r="AL70" s="9">
        <v>0</v>
      </c>
      <c r="AM70" s="9">
        <v>8.5000000000000006E-2</v>
      </c>
      <c r="AN70" s="9">
        <v>1.7569999999999999</v>
      </c>
      <c r="AO70" s="9">
        <v>1.7000000000000001E-2</v>
      </c>
      <c r="AP70" s="9">
        <v>1.6E-2</v>
      </c>
      <c r="AQ70" s="9">
        <v>0</v>
      </c>
      <c r="AR70" s="9">
        <v>0</v>
      </c>
      <c r="AS70" s="9">
        <v>0</v>
      </c>
      <c r="AT70" s="9" t="s">
        <v>243</v>
      </c>
      <c r="AU70" s="9" t="s">
        <v>243</v>
      </c>
      <c r="AV70" s="9" t="b">
        <v>0</v>
      </c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9">
        <v>3877</v>
      </c>
      <c r="CZ70" s="9">
        <v>1372</v>
      </c>
      <c r="DA70" s="9">
        <v>743</v>
      </c>
      <c r="DB70" s="9">
        <v>3134</v>
      </c>
      <c r="DC70" s="9">
        <v>629</v>
      </c>
      <c r="DD70" s="9">
        <v>0.191643022955894</v>
      </c>
      <c r="DE70" s="9">
        <v>0.54154518950437303</v>
      </c>
      <c r="DF70" s="9">
        <v>0.283101543151076</v>
      </c>
    </row>
    <row r="71" spans="1:110" ht="16" customHeight="1" x14ac:dyDescent="0.2">
      <c r="A71" s="8" t="s">
        <v>41</v>
      </c>
      <c r="B71" s="9" t="s">
        <v>268</v>
      </c>
      <c r="C71" s="9" t="s">
        <v>265</v>
      </c>
      <c r="D71" s="9" t="s">
        <v>174</v>
      </c>
      <c r="E71" s="9" t="s">
        <v>175</v>
      </c>
      <c r="F71" s="9" t="s">
        <v>176</v>
      </c>
      <c r="G71" s="9">
        <v>0.5</v>
      </c>
      <c r="H71" s="9">
        <v>4</v>
      </c>
      <c r="I71" s="9" t="s">
        <v>177</v>
      </c>
      <c r="J71" s="9" t="s">
        <v>178</v>
      </c>
      <c r="K71" s="9" t="s">
        <v>179</v>
      </c>
      <c r="L71" s="9" t="s">
        <v>180</v>
      </c>
      <c r="M71" s="9">
        <v>2853</v>
      </c>
      <c r="N71" s="9">
        <v>0.26813880126182998</v>
      </c>
      <c r="O71" s="9">
        <v>0.55758017492711398</v>
      </c>
      <c r="P71" s="9">
        <v>0.36213017751479298</v>
      </c>
      <c r="Q71" s="9">
        <v>10.02</v>
      </c>
      <c r="R71" s="9">
        <v>393</v>
      </c>
      <c r="S71" s="9">
        <v>393</v>
      </c>
      <c r="T71" s="9">
        <v>99550</v>
      </c>
      <c r="U71" s="9">
        <v>786</v>
      </c>
      <c r="V71" s="9">
        <v>100336</v>
      </c>
      <c r="W71" s="9">
        <v>20</v>
      </c>
      <c r="X71" s="9">
        <v>99550</v>
      </c>
      <c r="Y71" s="9">
        <v>786</v>
      </c>
      <c r="Z71" s="9">
        <v>100336</v>
      </c>
      <c r="AA71" s="9">
        <v>9828</v>
      </c>
      <c r="AB71" s="9">
        <v>9828</v>
      </c>
      <c r="AC71" s="9">
        <v>0</v>
      </c>
      <c r="AD71" s="9">
        <v>0</v>
      </c>
      <c r="AE71" s="9">
        <v>7.383</v>
      </c>
      <c r="AF71" s="9">
        <v>2.6230000000000002</v>
      </c>
      <c r="AG71" s="9">
        <v>4.0000000000000001E-3</v>
      </c>
      <c r="AH71" s="9">
        <v>1.4999999999999999E-2</v>
      </c>
      <c r="AI71" s="9">
        <v>0.123</v>
      </c>
      <c r="AJ71" s="9">
        <v>1.4999999999999999E-2</v>
      </c>
      <c r="AK71" s="9">
        <v>0</v>
      </c>
      <c r="AL71" s="9">
        <v>0</v>
      </c>
      <c r="AM71" s="9">
        <v>8.6999999999999994E-2</v>
      </c>
      <c r="AN71" s="9">
        <v>2.29</v>
      </c>
      <c r="AO71" s="9">
        <v>1.2999999999999999E-2</v>
      </c>
      <c r="AP71" s="9">
        <v>1.4999999999999999E-2</v>
      </c>
      <c r="AQ71" s="9">
        <v>0</v>
      </c>
      <c r="AR71" s="9">
        <v>0</v>
      </c>
      <c r="AS71" s="9">
        <v>0</v>
      </c>
      <c r="AT71" s="9" t="s">
        <v>243</v>
      </c>
      <c r="AU71" s="9" t="s">
        <v>243</v>
      </c>
      <c r="AV71" s="9" t="b">
        <v>0</v>
      </c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9">
        <v>2853</v>
      </c>
      <c r="CZ71" s="9">
        <v>1372</v>
      </c>
      <c r="DA71" s="9">
        <v>765</v>
      </c>
      <c r="DB71" s="9">
        <v>2088</v>
      </c>
      <c r="DC71" s="9">
        <v>607</v>
      </c>
      <c r="DD71" s="9">
        <v>0.26813880126182998</v>
      </c>
      <c r="DE71" s="9">
        <v>0.55758017492711398</v>
      </c>
      <c r="DF71" s="9">
        <v>0.36213017751479298</v>
      </c>
    </row>
    <row r="72" spans="1:110" ht="16" customHeight="1" x14ac:dyDescent="0.2">
      <c r="A72" s="8" t="s">
        <v>41</v>
      </c>
      <c r="B72" s="9" t="s">
        <v>269</v>
      </c>
      <c r="C72" s="9" t="s">
        <v>265</v>
      </c>
      <c r="D72" s="9" t="s">
        <v>174</v>
      </c>
      <c r="E72" s="9" t="s">
        <v>175</v>
      </c>
      <c r="F72" s="9" t="s">
        <v>176</v>
      </c>
      <c r="G72" s="9">
        <v>0.5</v>
      </c>
      <c r="H72" s="9">
        <v>5</v>
      </c>
      <c r="I72" s="9" t="s">
        <v>177</v>
      </c>
      <c r="J72" s="9" t="s">
        <v>178</v>
      </c>
      <c r="K72" s="9" t="s">
        <v>179</v>
      </c>
      <c r="L72" s="9" t="s">
        <v>180</v>
      </c>
      <c r="M72" s="9">
        <v>3195</v>
      </c>
      <c r="N72" s="9">
        <v>0.22566510172144</v>
      </c>
      <c r="O72" s="9">
        <v>0.52551020408163296</v>
      </c>
      <c r="P72" s="9">
        <v>0.31574337639588401</v>
      </c>
      <c r="Q72" s="9">
        <v>10.64</v>
      </c>
      <c r="R72" s="9">
        <v>491</v>
      </c>
      <c r="S72" s="9">
        <v>491</v>
      </c>
      <c r="T72" s="9">
        <v>129476</v>
      </c>
      <c r="U72" s="9">
        <v>982</v>
      </c>
      <c r="V72" s="9">
        <v>130458</v>
      </c>
      <c r="W72" s="9">
        <v>20</v>
      </c>
      <c r="X72" s="9">
        <v>129476</v>
      </c>
      <c r="Y72" s="9">
        <v>982</v>
      </c>
      <c r="Z72" s="9">
        <v>130458</v>
      </c>
      <c r="AA72" s="9">
        <v>9828</v>
      </c>
      <c r="AB72" s="9">
        <v>9828</v>
      </c>
      <c r="AC72" s="9">
        <v>0</v>
      </c>
      <c r="AD72" s="9">
        <v>0</v>
      </c>
      <c r="AE72" s="9">
        <v>7.4859999999999998</v>
      </c>
      <c r="AF72" s="9">
        <v>3.13</v>
      </c>
      <c r="AG72" s="9">
        <v>5.0000000000000001E-3</v>
      </c>
      <c r="AH72" s="9">
        <v>1.6E-2</v>
      </c>
      <c r="AI72" s="9">
        <v>0.12</v>
      </c>
      <c r="AJ72" s="9">
        <v>1.2999999999999999E-2</v>
      </c>
      <c r="AK72" s="9">
        <v>0</v>
      </c>
      <c r="AL72" s="9">
        <v>0</v>
      </c>
      <c r="AM72" s="9">
        <v>8.2000000000000003E-2</v>
      </c>
      <c r="AN72" s="9">
        <v>2.8050000000000002</v>
      </c>
      <c r="AO72" s="9">
        <v>1.4999999999999999E-2</v>
      </c>
      <c r="AP72" s="9">
        <v>1.6E-2</v>
      </c>
      <c r="AQ72" s="9">
        <v>0</v>
      </c>
      <c r="AR72" s="9">
        <v>0</v>
      </c>
      <c r="AS72" s="9">
        <v>0</v>
      </c>
      <c r="AT72" s="9" t="s">
        <v>243</v>
      </c>
      <c r="AU72" s="9" t="s">
        <v>243</v>
      </c>
      <c r="AV72" s="9" t="b">
        <v>0</v>
      </c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9">
        <v>3195</v>
      </c>
      <c r="CZ72" s="9">
        <v>1372</v>
      </c>
      <c r="DA72" s="9">
        <v>721</v>
      </c>
      <c r="DB72" s="9">
        <v>2474</v>
      </c>
      <c r="DC72" s="9">
        <v>651</v>
      </c>
      <c r="DD72" s="9">
        <v>0.22566510172144</v>
      </c>
      <c r="DE72" s="9">
        <v>0.52551020408163296</v>
      </c>
      <c r="DF72" s="9">
        <v>0.31574337639588401</v>
      </c>
    </row>
    <row r="73" spans="1:110" ht="16" customHeight="1" x14ac:dyDescent="0.2">
      <c r="A73" s="8" t="s">
        <v>41</v>
      </c>
      <c r="B73" s="9" t="s">
        <v>270</v>
      </c>
      <c r="C73" s="9" t="s">
        <v>265</v>
      </c>
      <c r="D73" s="9" t="s">
        <v>174</v>
      </c>
      <c r="E73" s="9" t="s">
        <v>175</v>
      </c>
      <c r="F73" s="9" t="s">
        <v>176</v>
      </c>
      <c r="G73" s="9">
        <v>0.5</v>
      </c>
      <c r="H73" s="9">
        <v>6</v>
      </c>
      <c r="I73" s="9" t="s">
        <v>177</v>
      </c>
      <c r="J73" s="9" t="s">
        <v>178</v>
      </c>
      <c r="K73" s="9" t="s">
        <v>179</v>
      </c>
      <c r="L73" s="9" t="s">
        <v>180</v>
      </c>
      <c r="M73" s="9">
        <v>3354</v>
      </c>
      <c r="N73" s="9">
        <v>0.25819916517590902</v>
      </c>
      <c r="O73" s="9">
        <v>0.63119533527696803</v>
      </c>
      <c r="P73" s="9">
        <v>0.366483283961066</v>
      </c>
      <c r="Q73" s="9">
        <v>10.8</v>
      </c>
      <c r="R73" s="9">
        <v>589</v>
      </c>
      <c r="S73" s="9">
        <v>589</v>
      </c>
      <c r="T73" s="9">
        <v>154187</v>
      </c>
      <c r="U73" s="9">
        <v>1178</v>
      </c>
      <c r="V73" s="9">
        <v>155365</v>
      </c>
      <c r="W73" s="9">
        <v>20</v>
      </c>
      <c r="X73" s="9">
        <v>154187</v>
      </c>
      <c r="Y73" s="9">
        <v>1178</v>
      </c>
      <c r="Z73" s="9">
        <v>155365</v>
      </c>
      <c r="AA73" s="9">
        <v>9828</v>
      </c>
      <c r="AB73" s="9">
        <v>9828</v>
      </c>
      <c r="AC73" s="9">
        <v>0</v>
      </c>
      <c r="AD73" s="9">
        <v>0</v>
      </c>
      <c r="AE73" s="9">
        <v>7.2439999999999998</v>
      </c>
      <c r="AF73" s="9">
        <v>3.532</v>
      </c>
      <c r="AG73" s="9">
        <v>4.0000000000000001E-3</v>
      </c>
      <c r="AH73" s="9">
        <v>1.4999999999999999E-2</v>
      </c>
      <c r="AI73" s="9">
        <v>0.12</v>
      </c>
      <c r="AJ73" s="9">
        <v>1.4E-2</v>
      </c>
      <c r="AK73" s="9">
        <v>0</v>
      </c>
      <c r="AL73" s="9">
        <v>0</v>
      </c>
      <c r="AM73" s="9">
        <v>8.5999999999999993E-2</v>
      </c>
      <c r="AN73" s="9">
        <v>3.2029999999999998</v>
      </c>
      <c r="AO73" s="9">
        <v>1.4E-2</v>
      </c>
      <c r="AP73" s="9">
        <v>1.4999999999999999E-2</v>
      </c>
      <c r="AQ73" s="9">
        <v>0</v>
      </c>
      <c r="AR73" s="9">
        <v>0</v>
      </c>
      <c r="AS73" s="9">
        <v>0</v>
      </c>
      <c r="AT73" s="9" t="s">
        <v>243</v>
      </c>
      <c r="AU73" s="9" t="s">
        <v>243</v>
      </c>
      <c r="AV73" s="9" t="b">
        <v>0</v>
      </c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9">
        <v>3354</v>
      </c>
      <c r="CZ73" s="9">
        <v>1372</v>
      </c>
      <c r="DA73" s="9">
        <v>866</v>
      </c>
      <c r="DB73" s="9">
        <v>2488</v>
      </c>
      <c r="DC73" s="9">
        <v>506</v>
      </c>
      <c r="DD73" s="9">
        <v>0.25819916517590902</v>
      </c>
      <c r="DE73" s="9">
        <v>0.63119533527696803</v>
      </c>
      <c r="DF73" s="9">
        <v>0.366483283961066</v>
      </c>
    </row>
    <row r="74" spans="1:110" ht="16" customHeight="1" x14ac:dyDescent="0.2">
      <c r="A74" s="8" t="s">
        <v>41</v>
      </c>
      <c r="B74" s="9" t="s">
        <v>271</v>
      </c>
      <c r="C74" s="9" t="s">
        <v>265</v>
      </c>
      <c r="D74" s="9" t="s">
        <v>174</v>
      </c>
      <c r="E74" s="9" t="s">
        <v>175</v>
      </c>
      <c r="F74" s="9" t="s">
        <v>176</v>
      </c>
      <c r="G74" s="9">
        <v>0.5</v>
      </c>
      <c r="H74" s="9">
        <v>7</v>
      </c>
      <c r="I74" s="9" t="s">
        <v>177</v>
      </c>
      <c r="J74" s="9" t="s">
        <v>178</v>
      </c>
      <c r="K74" s="9" t="s">
        <v>179</v>
      </c>
      <c r="L74" s="9" t="s">
        <v>180</v>
      </c>
      <c r="M74" s="9">
        <v>2521</v>
      </c>
      <c r="N74" s="9">
        <v>0.28123760412534698</v>
      </c>
      <c r="O74" s="9">
        <v>0.51676384839650202</v>
      </c>
      <c r="P74" s="9">
        <v>0.36424351399948601</v>
      </c>
      <c r="Q74" s="9">
        <v>11.4</v>
      </c>
      <c r="R74" s="9">
        <v>687</v>
      </c>
      <c r="S74" s="9">
        <v>687</v>
      </c>
      <c r="T74" s="9">
        <v>183412</v>
      </c>
      <c r="U74" s="9">
        <v>1374</v>
      </c>
      <c r="V74" s="9">
        <v>184786</v>
      </c>
      <c r="W74" s="9">
        <v>30</v>
      </c>
      <c r="X74" s="9">
        <v>183412</v>
      </c>
      <c r="Y74" s="9">
        <v>1374</v>
      </c>
      <c r="Z74" s="9">
        <v>184786</v>
      </c>
      <c r="AA74" s="9">
        <v>9828</v>
      </c>
      <c r="AB74" s="9">
        <v>9828</v>
      </c>
      <c r="AC74" s="9">
        <v>0</v>
      </c>
      <c r="AD74" s="9">
        <v>0</v>
      </c>
      <c r="AE74" s="9">
        <v>7.2709999999999999</v>
      </c>
      <c r="AF74" s="9">
        <v>4.1079999999999997</v>
      </c>
      <c r="AG74" s="9">
        <v>7.0000000000000001E-3</v>
      </c>
      <c r="AH74" s="9">
        <v>1.6E-2</v>
      </c>
      <c r="AI74" s="9">
        <v>0.121</v>
      </c>
      <c r="AJ74" s="9">
        <v>1.2999999999999999E-2</v>
      </c>
      <c r="AK74" s="9">
        <v>0</v>
      </c>
      <c r="AL74" s="9">
        <v>0</v>
      </c>
      <c r="AM74" s="9">
        <v>9.4E-2</v>
      </c>
      <c r="AN74" s="9">
        <v>3.77</v>
      </c>
      <c r="AO74" s="9">
        <v>1.2999999999999999E-2</v>
      </c>
      <c r="AP74" s="9">
        <v>1.6E-2</v>
      </c>
      <c r="AQ74" s="9">
        <v>0</v>
      </c>
      <c r="AR74" s="9">
        <v>0</v>
      </c>
      <c r="AS74" s="9">
        <v>0</v>
      </c>
      <c r="AT74" s="9" t="s">
        <v>243</v>
      </c>
      <c r="AU74" s="9" t="s">
        <v>243</v>
      </c>
      <c r="AV74" s="9" t="b">
        <v>0</v>
      </c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9">
        <v>2521</v>
      </c>
      <c r="CZ74" s="9">
        <v>1372</v>
      </c>
      <c r="DA74" s="9">
        <v>709</v>
      </c>
      <c r="DB74" s="9">
        <v>1812</v>
      </c>
      <c r="DC74" s="9">
        <v>663</v>
      </c>
      <c r="DD74" s="9">
        <v>0.28123760412534698</v>
      </c>
      <c r="DE74" s="9">
        <v>0.51676384839650202</v>
      </c>
      <c r="DF74" s="9">
        <v>0.36424351399948601</v>
      </c>
    </row>
    <row r="75" spans="1:110" s="4" customFormat="1" ht="16" customHeight="1" x14ac:dyDescent="0.2">
      <c r="A75" s="21" t="s">
        <v>41</v>
      </c>
      <c r="B75" s="20" t="s">
        <v>272</v>
      </c>
      <c r="C75" s="20" t="s">
        <v>265</v>
      </c>
      <c r="D75" s="20" t="s">
        <v>174</v>
      </c>
      <c r="E75" s="20" t="s">
        <v>175</v>
      </c>
      <c r="F75" s="20" t="s">
        <v>176</v>
      </c>
      <c r="G75" s="20">
        <v>0.5</v>
      </c>
      <c r="H75" s="20">
        <v>8</v>
      </c>
      <c r="I75" s="20" t="s">
        <v>177</v>
      </c>
      <c r="J75" s="20" t="s">
        <v>178</v>
      </c>
      <c r="K75" s="20" t="s">
        <v>179</v>
      </c>
      <c r="L75" s="20" t="s">
        <v>180</v>
      </c>
      <c r="M75" s="20">
        <v>3537</v>
      </c>
      <c r="N75" s="20">
        <v>0.26802374893977998</v>
      </c>
      <c r="O75" s="20">
        <v>0.69096209912536399</v>
      </c>
      <c r="P75" s="20">
        <v>0.38622937461804902</v>
      </c>
      <c r="Q75" s="20">
        <v>11.54</v>
      </c>
      <c r="R75" s="20">
        <v>786</v>
      </c>
      <c r="S75" s="20">
        <v>786</v>
      </c>
      <c r="T75" s="20">
        <v>203110</v>
      </c>
      <c r="U75" s="20">
        <v>1572</v>
      </c>
      <c r="V75" s="20">
        <v>204682</v>
      </c>
      <c r="W75" s="20">
        <v>30</v>
      </c>
      <c r="X75" s="20">
        <v>203110</v>
      </c>
      <c r="Y75" s="20">
        <v>1572</v>
      </c>
      <c r="Z75" s="20">
        <v>204682</v>
      </c>
      <c r="AA75" s="20">
        <v>9828</v>
      </c>
      <c r="AB75" s="20">
        <v>9828</v>
      </c>
      <c r="AC75" s="20">
        <v>0</v>
      </c>
      <c r="AD75" s="20">
        <v>0</v>
      </c>
      <c r="AE75" s="20">
        <v>7.3360000000000003</v>
      </c>
      <c r="AF75" s="20">
        <v>4.1870000000000003</v>
      </c>
      <c r="AG75" s="20">
        <v>7.0000000000000001E-3</v>
      </c>
      <c r="AH75" s="20">
        <v>1.4E-2</v>
      </c>
      <c r="AI75" s="20">
        <v>0.123</v>
      </c>
      <c r="AJ75" s="20">
        <v>1.2999999999999999E-2</v>
      </c>
      <c r="AK75" s="20">
        <v>0</v>
      </c>
      <c r="AL75" s="20">
        <v>0</v>
      </c>
      <c r="AM75" s="20">
        <v>8.8999999999999996E-2</v>
      </c>
      <c r="AN75" s="20">
        <v>3.8620000000000001</v>
      </c>
      <c r="AO75" s="20">
        <v>1.2999999999999999E-2</v>
      </c>
      <c r="AP75" s="20">
        <v>1.4E-2</v>
      </c>
      <c r="AQ75" s="20">
        <v>0</v>
      </c>
      <c r="AR75" s="20">
        <v>0</v>
      </c>
      <c r="AS75" s="20">
        <v>0</v>
      </c>
      <c r="AT75" s="20" t="s">
        <v>243</v>
      </c>
      <c r="AU75" s="20" t="s">
        <v>243</v>
      </c>
      <c r="AV75" s="20" t="b">
        <v>0</v>
      </c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0">
        <v>3537</v>
      </c>
      <c r="CZ75" s="20">
        <v>1372</v>
      </c>
      <c r="DA75" s="20">
        <v>948</v>
      </c>
      <c r="DB75" s="20">
        <v>2589</v>
      </c>
      <c r="DC75" s="20">
        <v>424</v>
      </c>
      <c r="DD75" s="20">
        <v>0.26802374893977998</v>
      </c>
      <c r="DE75" s="20">
        <v>0.69096209912536399</v>
      </c>
      <c r="DF75" s="20">
        <v>0.38622937461804902</v>
      </c>
    </row>
    <row r="76" spans="1:110" ht="16" customHeight="1" x14ac:dyDescent="0.2">
      <c r="A76" s="8" t="s">
        <v>41</v>
      </c>
      <c r="B76" s="9" t="s">
        <v>273</v>
      </c>
      <c r="C76" s="9" t="s">
        <v>265</v>
      </c>
      <c r="D76" s="9" t="s">
        <v>174</v>
      </c>
      <c r="E76" s="9" t="s">
        <v>175</v>
      </c>
      <c r="F76" s="9" t="s">
        <v>176</v>
      </c>
      <c r="G76" s="9">
        <v>0.5</v>
      </c>
      <c r="H76" s="9">
        <v>9</v>
      </c>
      <c r="I76" s="9" t="s">
        <v>177</v>
      </c>
      <c r="J76" s="9" t="s">
        <v>178</v>
      </c>
      <c r="K76" s="9" t="s">
        <v>179</v>
      </c>
      <c r="L76" s="9" t="s">
        <v>180</v>
      </c>
      <c r="M76" s="9">
        <v>3341</v>
      </c>
      <c r="N76" s="9">
        <v>0.25591140377132598</v>
      </c>
      <c r="O76" s="9">
        <v>0.62317784256559805</v>
      </c>
      <c r="P76" s="9">
        <v>0.36282622533418202</v>
      </c>
      <c r="Q76" s="9">
        <v>12.07</v>
      </c>
      <c r="R76" s="9">
        <v>884</v>
      </c>
      <c r="S76" s="9">
        <v>884</v>
      </c>
      <c r="T76" s="9">
        <v>231129</v>
      </c>
      <c r="U76" s="9">
        <v>1768</v>
      </c>
      <c r="V76" s="9">
        <v>232897</v>
      </c>
      <c r="W76" s="9">
        <v>30</v>
      </c>
      <c r="X76" s="9">
        <v>231129</v>
      </c>
      <c r="Y76" s="9">
        <v>1768</v>
      </c>
      <c r="Z76" s="9">
        <v>232897</v>
      </c>
      <c r="AA76" s="9">
        <v>9828</v>
      </c>
      <c r="AB76" s="9">
        <v>9828</v>
      </c>
      <c r="AC76" s="9">
        <v>0</v>
      </c>
      <c r="AD76" s="9">
        <v>0</v>
      </c>
      <c r="AE76" s="9">
        <v>7.4329999999999998</v>
      </c>
      <c r="AF76" s="9">
        <v>4.6120000000000001</v>
      </c>
      <c r="AG76" s="9">
        <v>6.0000000000000001E-3</v>
      </c>
      <c r="AH76" s="9">
        <v>1.6E-2</v>
      </c>
      <c r="AI76" s="9">
        <v>0.121</v>
      </c>
      <c r="AJ76" s="9">
        <v>1.2999999999999999E-2</v>
      </c>
      <c r="AK76" s="9">
        <v>0</v>
      </c>
      <c r="AL76" s="9">
        <v>0</v>
      </c>
      <c r="AM76" s="9">
        <v>8.8999999999999996E-2</v>
      </c>
      <c r="AN76" s="9">
        <v>4.2770000000000001</v>
      </c>
      <c r="AO76" s="9">
        <v>1.4999999999999999E-2</v>
      </c>
      <c r="AP76" s="9">
        <v>1.6E-2</v>
      </c>
      <c r="AQ76" s="9">
        <v>0</v>
      </c>
      <c r="AR76" s="9">
        <v>0</v>
      </c>
      <c r="AS76" s="9">
        <v>0</v>
      </c>
      <c r="AT76" s="9" t="s">
        <v>243</v>
      </c>
      <c r="AU76" s="9" t="s">
        <v>243</v>
      </c>
      <c r="AV76" s="9" t="b">
        <v>0</v>
      </c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9">
        <v>3341</v>
      </c>
      <c r="CZ76" s="9">
        <v>1372</v>
      </c>
      <c r="DA76" s="9">
        <v>855</v>
      </c>
      <c r="DB76" s="9">
        <v>2486</v>
      </c>
      <c r="DC76" s="9">
        <v>517</v>
      </c>
      <c r="DD76" s="9">
        <v>0.25591140377132598</v>
      </c>
      <c r="DE76" s="9">
        <v>0.62317784256559805</v>
      </c>
      <c r="DF76" s="9">
        <v>0.36282622533418202</v>
      </c>
    </row>
    <row r="77" spans="1:110" ht="16" customHeight="1" x14ac:dyDescent="0.2">
      <c r="A77" s="8" t="s">
        <v>41</v>
      </c>
      <c r="B77" s="9" t="s">
        <v>274</v>
      </c>
      <c r="C77" s="9" t="s">
        <v>265</v>
      </c>
      <c r="D77" s="9" t="s">
        <v>174</v>
      </c>
      <c r="E77" s="9" t="s">
        <v>175</v>
      </c>
      <c r="F77" s="9" t="s">
        <v>176</v>
      </c>
      <c r="G77" s="9">
        <v>0.5</v>
      </c>
      <c r="H77" s="9">
        <v>10</v>
      </c>
      <c r="I77" s="9" t="s">
        <v>177</v>
      </c>
      <c r="J77" s="9" t="s">
        <v>178</v>
      </c>
      <c r="K77" s="9" t="s">
        <v>179</v>
      </c>
      <c r="L77" s="9" t="s">
        <v>180</v>
      </c>
      <c r="M77" s="9">
        <v>3126</v>
      </c>
      <c r="N77" s="9">
        <v>0.28150991682661503</v>
      </c>
      <c r="O77" s="9">
        <v>0.64139941690962099</v>
      </c>
      <c r="P77" s="9">
        <v>0.39128501556247203</v>
      </c>
      <c r="Q77" s="9">
        <v>12.58</v>
      </c>
      <c r="R77" s="9">
        <v>982</v>
      </c>
      <c r="S77" s="9">
        <v>982</v>
      </c>
      <c r="T77" s="9">
        <v>266088</v>
      </c>
      <c r="U77" s="9">
        <v>1964</v>
      </c>
      <c r="V77" s="9">
        <v>268052</v>
      </c>
      <c r="W77" s="9">
        <v>40</v>
      </c>
      <c r="X77" s="9">
        <v>266088</v>
      </c>
      <c r="Y77" s="9">
        <v>1964</v>
      </c>
      <c r="Z77" s="9">
        <v>268052</v>
      </c>
      <c r="AA77" s="9">
        <v>9828</v>
      </c>
      <c r="AB77" s="9">
        <v>9828</v>
      </c>
      <c r="AC77" s="9">
        <v>0</v>
      </c>
      <c r="AD77" s="9">
        <v>0</v>
      </c>
      <c r="AE77" s="9">
        <v>7.1689999999999996</v>
      </c>
      <c r="AF77" s="9">
        <v>5.39</v>
      </c>
      <c r="AG77" s="9">
        <v>6.0000000000000001E-3</v>
      </c>
      <c r="AH77" s="9">
        <v>1.6E-2</v>
      </c>
      <c r="AI77" s="9">
        <v>0.128</v>
      </c>
      <c r="AJ77" s="9">
        <v>1.6E-2</v>
      </c>
      <c r="AK77" s="9">
        <v>0</v>
      </c>
      <c r="AL77" s="9">
        <v>0</v>
      </c>
      <c r="AM77" s="9">
        <v>9.4E-2</v>
      </c>
      <c r="AN77" s="9">
        <v>5</v>
      </c>
      <c r="AO77" s="9">
        <v>1.6E-2</v>
      </c>
      <c r="AP77" s="9">
        <v>1.6E-2</v>
      </c>
      <c r="AQ77" s="9">
        <v>0</v>
      </c>
      <c r="AR77" s="9">
        <v>0</v>
      </c>
      <c r="AS77" s="9">
        <v>0</v>
      </c>
      <c r="AT77" s="9" t="s">
        <v>243</v>
      </c>
      <c r="AU77" s="9" t="s">
        <v>243</v>
      </c>
      <c r="AV77" s="9" t="b">
        <v>0</v>
      </c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9">
        <v>3126</v>
      </c>
      <c r="CZ77" s="9">
        <v>1372</v>
      </c>
      <c r="DA77" s="9">
        <v>880</v>
      </c>
      <c r="DB77" s="9">
        <v>2246</v>
      </c>
      <c r="DC77" s="9">
        <v>492</v>
      </c>
      <c r="DD77" s="9">
        <v>0.28150991682661503</v>
      </c>
      <c r="DE77" s="9">
        <v>0.64139941690962099</v>
      </c>
      <c r="DF77" s="9">
        <v>0.39128501556247203</v>
      </c>
    </row>
    <row r="78" spans="1:110" ht="16" customHeight="1" x14ac:dyDescent="0.2">
      <c r="A78" s="8" t="s">
        <v>41</v>
      </c>
      <c r="B78" s="9" t="s">
        <v>275</v>
      </c>
      <c r="C78" s="9" t="s">
        <v>276</v>
      </c>
      <c r="D78" s="9" t="s">
        <v>174</v>
      </c>
      <c r="E78" s="9" t="s">
        <v>175</v>
      </c>
      <c r="F78" s="9" t="s">
        <v>176</v>
      </c>
      <c r="G78" s="9">
        <v>0.5</v>
      </c>
      <c r="H78" s="9">
        <v>1</v>
      </c>
      <c r="I78" s="9" t="s">
        <v>177</v>
      </c>
      <c r="J78" s="9" t="s">
        <v>178</v>
      </c>
      <c r="K78" s="9" t="s">
        <v>179</v>
      </c>
      <c r="L78" s="9" t="s">
        <v>180</v>
      </c>
      <c r="M78" s="9">
        <v>3085</v>
      </c>
      <c r="N78" s="9">
        <v>0.21815235008103701</v>
      </c>
      <c r="O78" s="9">
        <v>0.490524781341108</v>
      </c>
      <c r="P78" s="9">
        <v>0.30199685887368199</v>
      </c>
      <c r="Q78" s="9">
        <v>7.67</v>
      </c>
      <c r="R78" s="9">
        <v>98</v>
      </c>
      <c r="S78" s="9">
        <v>98</v>
      </c>
      <c r="T78" s="9">
        <v>25907</v>
      </c>
      <c r="U78" s="9">
        <v>196</v>
      </c>
      <c r="V78" s="9">
        <v>26103</v>
      </c>
      <c r="W78" s="9">
        <v>4</v>
      </c>
      <c r="X78" s="9">
        <v>25907</v>
      </c>
      <c r="Y78" s="9">
        <v>196</v>
      </c>
      <c r="Z78" s="9">
        <v>26103</v>
      </c>
      <c r="AA78" s="9">
        <v>9828</v>
      </c>
      <c r="AB78" s="9">
        <v>9828</v>
      </c>
      <c r="AC78" s="9">
        <v>0</v>
      </c>
      <c r="AD78" s="9">
        <v>0</v>
      </c>
      <c r="AE78" s="9">
        <v>6.9089999999999998</v>
      </c>
      <c r="AF78" s="9">
        <v>0.74399999999999999</v>
      </c>
      <c r="AG78" s="9">
        <v>2E-3</v>
      </c>
      <c r="AH78" s="9">
        <v>1.4999999999999999E-2</v>
      </c>
      <c r="AI78" s="9">
        <v>0.11799999999999999</v>
      </c>
      <c r="AJ78" s="9">
        <v>0</v>
      </c>
      <c r="AK78" s="9">
        <v>0</v>
      </c>
      <c r="AL78" s="9">
        <v>0</v>
      </c>
      <c r="AM78" s="9">
        <v>0</v>
      </c>
      <c r="AN78" s="9">
        <v>0.52200000000000002</v>
      </c>
      <c r="AO78" s="9">
        <v>1.2999999999999999E-2</v>
      </c>
      <c r="AP78" s="9">
        <v>1.4999999999999999E-2</v>
      </c>
      <c r="AQ78" s="9">
        <v>0</v>
      </c>
      <c r="AR78" s="9">
        <v>0</v>
      </c>
      <c r="AS78" s="9">
        <v>0</v>
      </c>
      <c r="AT78" s="9" t="s">
        <v>243</v>
      </c>
      <c r="AU78" s="9" t="s">
        <v>243</v>
      </c>
      <c r="AV78" s="9" t="b">
        <v>0</v>
      </c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9">
        <v>3085</v>
      </c>
      <c r="CZ78" s="9">
        <v>1372</v>
      </c>
      <c r="DA78" s="9">
        <v>673</v>
      </c>
      <c r="DB78" s="9">
        <v>2412</v>
      </c>
      <c r="DC78" s="9">
        <v>699</v>
      </c>
      <c r="DD78" s="9">
        <v>0.21815235008103701</v>
      </c>
      <c r="DE78" s="9">
        <v>0.490524781341108</v>
      </c>
      <c r="DF78" s="9">
        <v>0.30199685887368199</v>
      </c>
    </row>
    <row r="79" spans="1:110" ht="16" customHeight="1" x14ac:dyDescent="0.2">
      <c r="A79" s="8" t="s">
        <v>41</v>
      </c>
      <c r="B79" s="9" t="s">
        <v>277</v>
      </c>
      <c r="C79" s="9" t="s">
        <v>276</v>
      </c>
      <c r="D79" s="9" t="s">
        <v>174</v>
      </c>
      <c r="E79" s="9" t="s">
        <v>175</v>
      </c>
      <c r="F79" s="9" t="s">
        <v>176</v>
      </c>
      <c r="G79" s="9">
        <v>0.5</v>
      </c>
      <c r="H79" s="9">
        <v>2</v>
      </c>
      <c r="I79" s="9" t="s">
        <v>177</v>
      </c>
      <c r="J79" s="9" t="s">
        <v>178</v>
      </c>
      <c r="K79" s="9" t="s">
        <v>179</v>
      </c>
      <c r="L79" s="9" t="s">
        <v>180</v>
      </c>
      <c r="M79" s="9">
        <v>3029</v>
      </c>
      <c r="N79" s="9">
        <v>0.22713766919775499</v>
      </c>
      <c r="O79" s="9">
        <v>0.50145772594752203</v>
      </c>
      <c r="P79" s="9">
        <v>0.312656214496705</v>
      </c>
      <c r="Q79" s="9">
        <v>8.65</v>
      </c>
      <c r="R79" s="9">
        <v>196</v>
      </c>
      <c r="S79" s="9">
        <v>196</v>
      </c>
      <c r="T79" s="9">
        <v>50357</v>
      </c>
      <c r="U79" s="9">
        <v>392</v>
      </c>
      <c r="V79" s="9">
        <v>50749</v>
      </c>
      <c r="W79" s="9">
        <v>7</v>
      </c>
      <c r="X79" s="9">
        <v>50357</v>
      </c>
      <c r="Y79" s="9">
        <v>392</v>
      </c>
      <c r="Z79" s="9">
        <v>50749</v>
      </c>
      <c r="AA79" s="9">
        <v>9828</v>
      </c>
      <c r="AB79" s="9">
        <v>9828</v>
      </c>
      <c r="AC79" s="9">
        <v>0</v>
      </c>
      <c r="AD79" s="9">
        <v>0</v>
      </c>
      <c r="AE79" s="9">
        <v>7.37</v>
      </c>
      <c r="AF79" s="9">
        <v>1.2589999999999999</v>
      </c>
      <c r="AG79" s="9">
        <v>3.0000000000000001E-3</v>
      </c>
      <c r="AH79" s="9">
        <v>1.6E-2</v>
      </c>
      <c r="AI79" s="9">
        <v>0.126</v>
      </c>
      <c r="AJ79" s="9">
        <v>0</v>
      </c>
      <c r="AK79" s="9">
        <v>0</v>
      </c>
      <c r="AL79" s="9">
        <v>0</v>
      </c>
      <c r="AM79" s="9">
        <v>0</v>
      </c>
      <c r="AN79" s="9">
        <v>1.028</v>
      </c>
      <c r="AO79" s="9">
        <v>1.4E-2</v>
      </c>
      <c r="AP79" s="9">
        <v>1.6E-2</v>
      </c>
      <c r="AQ79" s="9">
        <v>0</v>
      </c>
      <c r="AR79" s="9">
        <v>0</v>
      </c>
      <c r="AS79" s="9">
        <v>0</v>
      </c>
      <c r="AT79" s="9" t="s">
        <v>243</v>
      </c>
      <c r="AU79" s="9" t="s">
        <v>243</v>
      </c>
      <c r="AV79" s="9" t="b">
        <v>0</v>
      </c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9">
        <v>3029</v>
      </c>
      <c r="CZ79" s="9">
        <v>1372</v>
      </c>
      <c r="DA79" s="9">
        <v>688</v>
      </c>
      <c r="DB79" s="9">
        <v>2341</v>
      </c>
      <c r="DC79" s="9">
        <v>684</v>
      </c>
      <c r="DD79" s="9">
        <v>0.22713766919775499</v>
      </c>
      <c r="DE79" s="9">
        <v>0.50145772594752203</v>
      </c>
      <c r="DF79" s="9">
        <v>0.312656214496705</v>
      </c>
    </row>
    <row r="80" spans="1:110" ht="16" customHeight="1" x14ac:dyDescent="0.2">
      <c r="A80" s="8" t="s">
        <v>41</v>
      </c>
      <c r="B80" s="9" t="s">
        <v>278</v>
      </c>
      <c r="C80" s="9" t="s">
        <v>276</v>
      </c>
      <c r="D80" s="9" t="s">
        <v>174</v>
      </c>
      <c r="E80" s="9" t="s">
        <v>175</v>
      </c>
      <c r="F80" s="9" t="s">
        <v>176</v>
      </c>
      <c r="G80" s="9">
        <v>0.5</v>
      </c>
      <c r="H80" s="9">
        <v>3</v>
      </c>
      <c r="I80" s="9" t="s">
        <v>177</v>
      </c>
      <c r="J80" s="9" t="s">
        <v>178</v>
      </c>
      <c r="K80" s="9" t="s">
        <v>179</v>
      </c>
      <c r="L80" s="9" t="s">
        <v>180</v>
      </c>
      <c r="M80" s="9">
        <v>4613</v>
      </c>
      <c r="N80" s="9">
        <v>0.187513548666811</v>
      </c>
      <c r="O80" s="9">
        <v>0.63046647230320696</v>
      </c>
      <c r="P80" s="9">
        <v>0.28905597326650001</v>
      </c>
      <c r="Q80" s="9">
        <v>8.9700000000000006</v>
      </c>
      <c r="R80" s="9">
        <v>294</v>
      </c>
      <c r="S80" s="9">
        <v>294</v>
      </c>
      <c r="T80" s="9">
        <v>72275</v>
      </c>
      <c r="U80" s="9">
        <v>588</v>
      </c>
      <c r="V80" s="9">
        <v>72863</v>
      </c>
      <c r="W80" s="9">
        <v>10</v>
      </c>
      <c r="X80" s="9">
        <v>72275</v>
      </c>
      <c r="Y80" s="9">
        <v>588</v>
      </c>
      <c r="Z80" s="9">
        <v>72863</v>
      </c>
      <c r="AA80" s="9">
        <v>9828</v>
      </c>
      <c r="AB80" s="9">
        <v>9828</v>
      </c>
      <c r="AC80" s="9">
        <v>0</v>
      </c>
      <c r="AD80" s="9">
        <v>0</v>
      </c>
      <c r="AE80" s="9">
        <v>7.1340000000000003</v>
      </c>
      <c r="AF80" s="9">
        <v>1.8129999999999999</v>
      </c>
      <c r="AG80" s="9">
        <v>5.0000000000000001E-3</v>
      </c>
      <c r="AH80" s="9">
        <v>1.4999999999999999E-2</v>
      </c>
      <c r="AI80" s="9">
        <v>0.12</v>
      </c>
      <c r="AJ80" s="9">
        <v>0</v>
      </c>
      <c r="AK80" s="9">
        <v>0</v>
      </c>
      <c r="AL80" s="9">
        <v>0</v>
      </c>
      <c r="AM80" s="9">
        <v>0</v>
      </c>
      <c r="AN80" s="9">
        <v>1.5649999999999999</v>
      </c>
      <c r="AO80" s="9">
        <v>1.6E-2</v>
      </c>
      <c r="AP80" s="9">
        <v>1.4999999999999999E-2</v>
      </c>
      <c r="AQ80" s="9">
        <v>0</v>
      </c>
      <c r="AR80" s="9">
        <v>0</v>
      </c>
      <c r="AS80" s="9">
        <v>0</v>
      </c>
      <c r="AT80" s="9" t="s">
        <v>243</v>
      </c>
      <c r="AU80" s="9" t="s">
        <v>243</v>
      </c>
      <c r="AV80" s="9" t="b">
        <v>0</v>
      </c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9">
        <v>4613</v>
      </c>
      <c r="CZ80" s="9">
        <v>1372</v>
      </c>
      <c r="DA80" s="9">
        <v>865</v>
      </c>
      <c r="DB80" s="9">
        <v>3748</v>
      </c>
      <c r="DC80" s="9">
        <v>507</v>
      </c>
      <c r="DD80" s="9">
        <v>0.187513548666811</v>
      </c>
      <c r="DE80" s="9">
        <v>0.63046647230320696</v>
      </c>
      <c r="DF80" s="9">
        <v>0.28905597326650001</v>
      </c>
    </row>
    <row r="81" spans="1:110" ht="16" customHeight="1" x14ac:dyDescent="0.2">
      <c r="A81" s="8" t="s">
        <v>41</v>
      </c>
      <c r="B81" s="9" t="s">
        <v>279</v>
      </c>
      <c r="C81" s="9" t="s">
        <v>276</v>
      </c>
      <c r="D81" s="9" t="s">
        <v>174</v>
      </c>
      <c r="E81" s="9" t="s">
        <v>175</v>
      </c>
      <c r="F81" s="9" t="s">
        <v>176</v>
      </c>
      <c r="G81" s="9">
        <v>0.5</v>
      </c>
      <c r="H81" s="9">
        <v>4</v>
      </c>
      <c r="I81" s="9" t="s">
        <v>177</v>
      </c>
      <c r="J81" s="9" t="s">
        <v>178</v>
      </c>
      <c r="K81" s="9" t="s">
        <v>179</v>
      </c>
      <c r="L81" s="9" t="s">
        <v>180</v>
      </c>
      <c r="M81" s="9">
        <v>4265</v>
      </c>
      <c r="N81" s="9">
        <v>0.22274325908557999</v>
      </c>
      <c r="O81" s="9">
        <v>0.69241982507288602</v>
      </c>
      <c r="P81" s="9">
        <v>0.33705871917686703</v>
      </c>
      <c r="Q81" s="9">
        <v>9.77</v>
      </c>
      <c r="R81" s="9">
        <v>393</v>
      </c>
      <c r="S81" s="9">
        <v>393</v>
      </c>
      <c r="T81" s="9">
        <v>99791</v>
      </c>
      <c r="U81" s="9">
        <v>786</v>
      </c>
      <c r="V81" s="9">
        <v>100577</v>
      </c>
      <c r="W81" s="9">
        <v>13</v>
      </c>
      <c r="X81" s="9">
        <v>99791</v>
      </c>
      <c r="Y81" s="9">
        <v>786</v>
      </c>
      <c r="Z81" s="9">
        <v>100577</v>
      </c>
      <c r="AA81" s="9">
        <v>9828</v>
      </c>
      <c r="AB81" s="9">
        <v>9828</v>
      </c>
      <c r="AC81" s="9">
        <v>0</v>
      </c>
      <c r="AD81" s="9">
        <v>0</v>
      </c>
      <c r="AE81" s="9">
        <v>7.4370000000000003</v>
      </c>
      <c r="AF81" s="9">
        <v>2.31</v>
      </c>
      <c r="AG81" s="9">
        <v>4.0000000000000001E-3</v>
      </c>
      <c r="AH81" s="9">
        <v>1.4999999999999999E-2</v>
      </c>
      <c r="AI81" s="9">
        <v>0.11899999999999999</v>
      </c>
      <c r="AJ81" s="9">
        <v>0</v>
      </c>
      <c r="AK81" s="9">
        <v>0</v>
      </c>
      <c r="AL81" s="9">
        <v>0</v>
      </c>
      <c r="AM81" s="9">
        <v>0</v>
      </c>
      <c r="AN81" s="9">
        <v>2.0779999999999998</v>
      </c>
      <c r="AO81" s="9">
        <v>1.4E-2</v>
      </c>
      <c r="AP81" s="9">
        <v>1.4999999999999999E-2</v>
      </c>
      <c r="AQ81" s="9">
        <v>0</v>
      </c>
      <c r="AR81" s="9">
        <v>0</v>
      </c>
      <c r="AS81" s="9">
        <v>0</v>
      </c>
      <c r="AT81" s="9" t="s">
        <v>243</v>
      </c>
      <c r="AU81" s="9" t="s">
        <v>243</v>
      </c>
      <c r="AV81" s="9" t="b">
        <v>0</v>
      </c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9">
        <v>4265</v>
      </c>
      <c r="CZ81" s="9">
        <v>1372</v>
      </c>
      <c r="DA81" s="9">
        <v>950</v>
      </c>
      <c r="DB81" s="9">
        <v>3315</v>
      </c>
      <c r="DC81" s="9">
        <v>422</v>
      </c>
      <c r="DD81" s="9">
        <v>0.22274325908557999</v>
      </c>
      <c r="DE81" s="9">
        <v>0.69241982507288602</v>
      </c>
      <c r="DF81" s="9">
        <v>0.33705871917686703</v>
      </c>
    </row>
    <row r="82" spans="1:110" ht="16" customHeight="1" x14ac:dyDescent="0.2">
      <c r="A82" s="8" t="s">
        <v>41</v>
      </c>
      <c r="B82" s="9" t="s">
        <v>280</v>
      </c>
      <c r="C82" s="9" t="s">
        <v>276</v>
      </c>
      <c r="D82" s="9" t="s">
        <v>174</v>
      </c>
      <c r="E82" s="9" t="s">
        <v>175</v>
      </c>
      <c r="F82" s="9" t="s">
        <v>176</v>
      </c>
      <c r="G82" s="9">
        <v>0.5</v>
      </c>
      <c r="H82" s="9">
        <v>5</v>
      </c>
      <c r="I82" s="9" t="s">
        <v>177</v>
      </c>
      <c r="J82" s="9" t="s">
        <v>178</v>
      </c>
      <c r="K82" s="9" t="s">
        <v>179</v>
      </c>
      <c r="L82" s="9" t="s">
        <v>180</v>
      </c>
      <c r="M82" s="9">
        <v>4370</v>
      </c>
      <c r="N82" s="9">
        <v>0.19725400457665901</v>
      </c>
      <c r="O82" s="9">
        <v>0.62827988338192398</v>
      </c>
      <c r="P82" s="9">
        <v>0.30024381748519702</v>
      </c>
      <c r="Q82" s="9">
        <v>10.71</v>
      </c>
      <c r="R82" s="9">
        <v>491</v>
      </c>
      <c r="S82" s="9">
        <v>491</v>
      </c>
      <c r="T82" s="9">
        <v>127000</v>
      </c>
      <c r="U82" s="9">
        <v>982</v>
      </c>
      <c r="V82" s="9">
        <v>127982</v>
      </c>
      <c r="W82" s="9">
        <v>16</v>
      </c>
      <c r="X82" s="9">
        <v>127000</v>
      </c>
      <c r="Y82" s="9">
        <v>982</v>
      </c>
      <c r="Z82" s="9">
        <v>127982</v>
      </c>
      <c r="AA82" s="9">
        <v>9828</v>
      </c>
      <c r="AB82" s="9">
        <v>9828</v>
      </c>
      <c r="AC82" s="9">
        <v>0</v>
      </c>
      <c r="AD82" s="9">
        <v>0</v>
      </c>
      <c r="AE82" s="9">
        <v>7.5270000000000001</v>
      </c>
      <c r="AF82" s="9">
        <v>3.16</v>
      </c>
      <c r="AG82" s="9">
        <v>6.0000000000000001E-3</v>
      </c>
      <c r="AH82" s="9">
        <v>1.4E-2</v>
      </c>
      <c r="AI82" s="9">
        <v>0.11700000000000001</v>
      </c>
      <c r="AJ82" s="9">
        <v>0</v>
      </c>
      <c r="AK82" s="9">
        <v>0</v>
      </c>
      <c r="AL82" s="9">
        <v>0</v>
      </c>
      <c r="AM82" s="9">
        <v>0</v>
      </c>
      <c r="AN82" s="9">
        <v>2.9329999999999998</v>
      </c>
      <c r="AO82" s="9">
        <v>1.4999999999999999E-2</v>
      </c>
      <c r="AP82" s="9">
        <v>1.4E-2</v>
      </c>
      <c r="AQ82" s="9">
        <v>0</v>
      </c>
      <c r="AR82" s="9">
        <v>0</v>
      </c>
      <c r="AS82" s="9">
        <v>0</v>
      </c>
      <c r="AT82" s="9" t="s">
        <v>243</v>
      </c>
      <c r="AU82" s="9" t="s">
        <v>243</v>
      </c>
      <c r="AV82" s="9" t="b">
        <v>0</v>
      </c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9">
        <v>4370</v>
      </c>
      <c r="CZ82" s="9">
        <v>1372</v>
      </c>
      <c r="DA82" s="9">
        <v>862</v>
      </c>
      <c r="DB82" s="9">
        <v>3508</v>
      </c>
      <c r="DC82" s="9">
        <v>510</v>
      </c>
      <c r="DD82" s="9">
        <v>0.19725400457665901</v>
      </c>
      <c r="DE82" s="9">
        <v>0.62827988338192398</v>
      </c>
      <c r="DF82" s="9">
        <v>0.30024381748519702</v>
      </c>
    </row>
    <row r="83" spans="1:110" ht="16" customHeight="1" x14ac:dyDescent="0.2">
      <c r="A83" s="8" t="s">
        <v>41</v>
      </c>
      <c r="B83" s="9" t="s">
        <v>281</v>
      </c>
      <c r="C83" s="9" t="s">
        <v>276</v>
      </c>
      <c r="D83" s="9" t="s">
        <v>174</v>
      </c>
      <c r="E83" s="9" t="s">
        <v>175</v>
      </c>
      <c r="F83" s="9" t="s">
        <v>176</v>
      </c>
      <c r="G83" s="9">
        <v>0.5</v>
      </c>
      <c r="H83" s="9">
        <v>6</v>
      </c>
      <c r="I83" s="9" t="s">
        <v>177</v>
      </c>
      <c r="J83" s="9" t="s">
        <v>178</v>
      </c>
      <c r="K83" s="9" t="s">
        <v>179</v>
      </c>
      <c r="L83" s="9" t="s">
        <v>180</v>
      </c>
      <c r="M83" s="9">
        <v>4261</v>
      </c>
      <c r="N83" s="9">
        <v>0.213095517484159</v>
      </c>
      <c r="O83" s="9">
        <v>0.66180758017492702</v>
      </c>
      <c r="P83" s="9">
        <v>0.32238593999644999</v>
      </c>
      <c r="Q83" s="9">
        <v>10.97</v>
      </c>
      <c r="R83" s="9">
        <v>589</v>
      </c>
      <c r="S83" s="9">
        <v>589</v>
      </c>
      <c r="T83" s="9">
        <v>154809</v>
      </c>
      <c r="U83" s="9">
        <v>1178</v>
      </c>
      <c r="V83" s="9">
        <v>155987</v>
      </c>
      <c r="W83" s="9">
        <v>19</v>
      </c>
      <c r="X83" s="9">
        <v>154809</v>
      </c>
      <c r="Y83" s="9">
        <v>1178</v>
      </c>
      <c r="Z83" s="9">
        <v>155987</v>
      </c>
      <c r="AA83" s="9">
        <v>9828</v>
      </c>
      <c r="AB83" s="9">
        <v>9828</v>
      </c>
      <c r="AC83" s="9">
        <v>0</v>
      </c>
      <c r="AD83" s="9">
        <v>0</v>
      </c>
      <c r="AE83" s="9">
        <v>7.3789999999999996</v>
      </c>
      <c r="AF83" s="9">
        <v>3.569</v>
      </c>
      <c r="AG83" s="9">
        <v>5.0000000000000001E-3</v>
      </c>
      <c r="AH83" s="9">
        <v>1.6E-2</v>
      </c>
      <c r="AI83" s="9">
        <v>0.11899999999999999</v>
      </c>
      <c r="AJ83" s="9">
        <v>0</v>
      </c>
      <c r="AK83" s="9">
        <v>0</v>
      </c>
      <c r="AL83" s="9">
        <v>0</v>
      </c>
      <c r="AM83" s="9">
        <v>1E-3</v>
      </c>
      <c r="AN83" s="9">
        <v>3.3359999999999999</v>
      </c>
      <c r="AO83" s="9">
        <v>1.6E-2</v>
      </c>
      <c r="AP83" s="9">
        <v>1.6E-2</v>
      </c>
      <c r="AQ83" s="9">
        <v>0</v>
      </c>
      <c r="AR83" s="9">
        <v>0</v>
      </c>
      <c r="AS83" s="9">
        <v>0</v>
      </c>
      <c r="AT83" s="9" t="s">
        <v>243</v>
      </c>
      <c r="AU83" s="9" t="s">
        <v>243</v>
      </c>
      <c r="AV83" s="9" t="b">
        <v>0</v>
      </c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9">
        <v>4261</v>
      </c>
      <c r="CZ83" s="9">
        <v>1372</v>
      </c>
      <c r="DA83" s="9">
        <v>908</v>
      </c>
      <c r="DB83" s="9">
        <v>3353</v>
      </c>
      <c r="DC83" s="9">
        <v>464</v>
      </c>
      <c r="DD83" s="9">
        <v>0.213095517484159</v>
      </c>
      <c r="DE83" s="9">
        <v>0.66180758017492702</v>
      </c>
      <c r="DF83" s="9">
        <v>0.32238593999644999</v>
      </c>
    </row>
    <row r="84" spans="1:110" ht="16" customHeight="1" x14ac:dyDescent="0.2">
      <c r="A84" s="8" t="s">
        <v>41</v>
      </c>
      <c r="B84" s="9" t="s">
        <v>282</v>
      </c>
      <c r="C84" s="9" t="s">
        <v>276</v>
      </c>
      <c r="D84" s="9" t="s">
        <v>174</v>
      </c>
      <c r="E84" s="9" t="s">
        <v>175</v>
      </c>
      <c r="F84" s="9" t="s">
        <v>176</v>
      </c>
      <c r="G84" s="9">
        <v>0.5</v>
      </c>
      <c r="H84" s="9">
        <v>7</v>
      </c>
      <c r="I84" s="9" t="s">
        <v>177</v>
      </c>
      <c r="J84" s="9" t="s">
        <v>178</v>
      </c>
      <c r="K84" s="9" t="s">
        <v>179</v>
      </c>
      <c r="L84" s="9" t="s">
        <v>180</v>
      </c>
      <c r="M84" s="9">
        <v>3860</v>
      </c>
      <c r="N84" s="9">
        <v>0.22176165803108799</v>
      </c>
      <c r="O84" s="9">
        <v>0.62390670553935901</v>
      </c>
      <c r="P84" s="9">
        <v>0.327217125382263</v>
      </c>
      <c r="Q84" s="9">
        <v>11.15</v>
      </c>
      <c r="R84" s="9">
        <v>687</v>
      </c>
      <c r="S84" s="9">
        <v>687</v>
      </c>
      <c r="T84" s="9">
        <v>181358</v>
      </c>
      <c r="U84" s="9">
        <v>1374</v>
      </c>
      <c r="V84" s="9">
        <v>182732</v>
      </c>
      <c r="W84" s="9">
        <v>22</v>
      </c>
      <c r="X84" s="9">
        <v>181358</v>
      </c>
      <c r="Y84" s="9">
        <v>1374</v>
      </c>
      <c r="Z84" s="9">
        <v>182732</v>
      </c>
      <c r="AA84" s="9">
        <v>9828</v>
      </c>
      <c r="AB84" s="9">
        <v>9828</v>
      </c>
      <c r="AC84" s="9">
        <v>0</v>
      </c>
      <c r="AD84" s="9">
        <v>0</v>
      </c>
      <c r="AE84" s="9">
        <v>7.3120000000000003</v>
      </c>
      <c r="AF84" s="9">
        <v>3.8159999999999998</v>
      </c>
      <c r="AG84" s="9">
        <v>5.0000000000000001E-3</v>
      </c>
      <c r="AH84" s="9">
        <v>1.4999999999999999E-2</v>
      </c>
      <c r="AI84" s="9">
        <v>0.11600000000000001</v>
      </c>
      <c r="AJ84" s="9">
        <v>0</v>
      </c>
      <c r="AK84" s="9">
        <v>0</v>
      </c>
      <c r="AL84" s="9">
        <v>0</v>
      </c>
      <c r="AM84" s="9">
        <v>0</v>
      </c>
      <c r="AN84" s="9">
        <v>3.5649999999999999</v>
      </c>
      <c r="AO84" s="9">
        <v>1.4E-2</v>
      </c>
      <c r="AP84" s="9">
        <v>1.4999999999999999E-2</v>
      </c>
      <c r="AQ84" s="9">
        <v>0</v>
      </c>
      <c r="AR84" s="9">
        <v>0</v>
      </c>
      <c r="AS84" s="9">
        <v>0</v>
      </c>
      <c r="AT84" s="9" t="s">
        <v>243</v>
      </c>
      <c r="AU84" s="9" t="s">
        <v>243</v>
      </c>
      <c r="AV84" s="9" t="b">
        <v>0</v>
      </c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9">
        <v>3860</v>
      </c>
      <c r="CZ84" s="9">
        <v>1372</v>
      </c>
      <c r="DA84" s="9">
        <v>856</v>
      </c>
      <c r="DB84" s="9">
        <v>3004</v>
      </c>
      <c r="DC84" s="9">
        <v>516</v>
      </c>
      <c r="DD84" s="9">
        <v>0.22176165803108799</v>
      </c>
      <c r="DE84" s="9">
        <v>0.62390670553935901</v>
      </c>
      <c r="DF84" s="9">
        <v>0.327217125382263</v>
      </c>
    </row>
    <row r="85" spans="1:110" s="4" customFormat="1" ht="16" customHeight="1" x14ac:dyDescent="0.2">
      <c r="A85" s="21" t="s">
        <v>41</v>
      </c>
      <c r="B85" s="20" t="s">
        <v>283</v>
      </c>
      <c r="C85" s="20" t="s">
        <v>276</v>
      </c>
      <c r="D85" s="20" t="s">
        <v>174</v>
      </c>
      <c r="E85" s="20" t="s">
        <v>175</v>
      </c>
      <c r="F85" s="20" t="s">
        <v>176</v>
      </c>
      <c r="G85" s="20">
        <v>0.5</v>
      </c>
      <c r="H85" s="20">
        <v>8</v>
      </c>
      <c r="I85" s="20" t="s">
        <v>177</v>
      </c>
      <c r="J85" s="20" t="s">
        <v>178</v>
      </c>
      <c r="K85" s="20" t="s">
        <v>179</v>
      </c>
      <c r="L85" s="20" t="s">
        <v>180</v>
      </c>
      <c r="M85" s="20">
        <v>4329</v>
      </c>
      <c r="N85" s="20">
        <v>0.219450219450219</v>
      </c>
      <c r="O85" s="20">
        <v>0.69241982507288602</v>
      </c>
      <c r="P85" s="20">
        <v>0.33327486405893703</v>
      </c>
      <c r="Q85" s="20">
        <v>11.57</v>
      </c>
      <c r="R85" s="20">
        <v>786</v>
      </c>
      <c r="S85" s="20">
        <v>786</v>
      </c>
      <c r="T85" s="20">
        <v>203777</v>
      </c>
      <c r="U85" s="20">
        <v>1572</v>
      </c>
      <c r="V85" s="20">
        <v>205349</v>
      </c>
      <c r="W85" s="20">
        <v>25</v>
      </c>
      <c r="X85" s="20">
        <v>203777</v>
      </c>
      <c r="Y85" s="20">
        <v>1572</v>
      </c>
      <c r="Z85" s="20">
        <v>205349</v>
      </c>
      <c r="AA85" s="20">
        <v>9828</v>
      </c>
      <c r="AB85" s="20">
        <v>9828</v>
      </c>
      <c r="AC85" s="20">
        <v>0</v>
      </c>
      <c r="AD85" s="20">
        <v>0</v>
      </c>
      <c r="AE85" s="20">
        <v>7.048</v>
      </c>
      <c r="AF85" s="20">
        <v>4.5049999999999999</v>
      </c>
      <c r="AG85" s="20">
        <v>6.0000000000000001E-3</v>
      </c>
      <c r="AH85" s="20">
        <v>1.4999999999999999E-2</v>
      </c>
      <c r="AI85" s="20">
        <v>0.11899999999999999</v>
      </c>
      <c r="AJ85" s="20">
        <v>0</v>
      </c>
      <c r="AK85" s="20">
        <v>0</v>
      </c>
      <c r="AL85" s="20">
        <v>0</v>
      </c>
      <c r="AM85" s="20">
        <v>0</v>
      </c>
      <c r="AN85" s="20">
        <v>4.2640000000000002</v>
      </c>
      <c r="AO85" s="20">
        <v>1.4999999999999999E-2</v>
      </c>
      <c r="AP85" s="20">
        <v>1.4999999999999999E-2</v>
      </c>
      <c r="AQ85" s="20">
        <v>0</v>
      </c>
      <c r="AR85" s="20">
        <v>0</v>
      </c>
      <c r="AS85" s="20">
        <v>0</v>
      </c>
      <c r="AT85" s="20" t="s">
        <v>243</v>
      </c>
      <c r="AU85" s="20" t="s">
        <v>243</v>
      </c>
      <c r="AV85" s="20" t="b">
        <v>0</v>
      </c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0">
        <v>4329</v>
      </c>
      <c r="CZ85" s="20">
        <v>1372</v>
      </c>
      <c r="DA85" s="20">
        <v>950</v>
      </c>
      <c r="DB85" s="20">
        <v>3379</v>
      </c>
      <c r="DC85" s="20">
        <v>422</v>
      </c>
      <c r="DD85" s="20">
        <v>0.219450219450219</v>
      </c>
      <c r="DE85" s="20">
        <v>0.69241982507288602</v>
      </c>
      <c r="DF85" s="20">
        <v>0.33327486405893703</v>
      </c>
    </row>
    <row r="86" spans="1:110" ht="16" customHeight="1" x14ac:dyDescent="0.2">
      <c r="A86" s="8" t="s">
        <v>41</v>
      </c>
      <c r="B86" s="9" t="s">
        <v>284</v>
      </c>
      <c r="C86" s="9" t="s">
        <v>276</v>
      </c>
      <c r="D86" s="9" t="s">
        <v>174</v>
      </c>
      <c r="E86" s="9" t="s">
        <v>175</v>
      </c>
      <c r="F86" s="9" t="s">
        <v>176</v>
      </c>
      <c r="G86" s="9">
        <v>0.5</v>
      </c>
      <c r="H86" s="9">
        <v>9</v>
      </c>
      <c r="I86" s="9" t="s">
        <v>177</v>
      </c>
      <c r="J86" s="9" t="s">
        <v>178</v>
      </c>
      <c r="K86" s="9" t="s">
        <v>179</v>
      </c>
      <c r="L86" s="9" t="s">
        <v>180</v>
      </c>
      <c r="M86" s="9">
        <v>4287</v>
      </c>
      <c r="N86" s="9">
        <v>0.22299976673664601</v>
      </c>
      <c r="O86" s="9">
        <v>0.69679300291545199</v>
      </c>
      <c r="P86" s="9">
        <v>0.33786888142781402</v>
      </c>
      <c r="Q86" s="9">
        <v>12.36</v>
      </c>
      <c r="R86" s="9">
        <v>884</v>
      </c>
      <c r="S86" s="9">
        <v>884</v>
      </c>
      <c r="T86" s="9">
        <v>226625</v>
      </c>
      <c r="U86" s="9">
        <v>1768</v>
      </c>
      <c r="V86" s="9">
        <v>228393</v>
      </c>
      <c r="W86" s="9">
        <v>28</v>
      </c>
      <c r="X86" s="9">
        <v>226625</v>
      </c>
      <c r="Y86" s="9">
        <v>1768</v>
      </c>
      <c r="Z86" s="9">
        <v>228393</v>
      </c>
      <c r="AA86" s="9">
        <v>9828</v>
      </c>
      <c r="AB86" s="9">
        <v>9828</v>
      </c>
      <c r="AC86" s="9">
        <v>0</v>
      </c>
      <c r="AD86" s="9">
        <v>0</v>
      </c>
      <c r="AE86" s="9">
        <v>7.2220000000000004</v>
      </c>
      <c r="AF86" s="9">
        <v>5.1219999999999999</v>
      </c>
      <c r="AG86" s="9">
        <v>6.0000000000000001E-3</v>
      </c>
      <c r="AH86" s="9">
        <v>1.4999999999999999E-2</v>
      </c>
      <c r="AI86" s="9">
        <v>0.114</v>
      </c>
      <c r="AJ86" s="9">
        <v>0</v>
      </c>
      <c r="AK86" s="9">
        <v>0</v>
      </c>
      <c r="AL86" s="9">
        <v>0</v>
      </c>
      <c r="AM86" s="9">
        <v>0</v>
      </c>
      <c r="AN86" s="9">
        <v>4.8840000000000003</v>
      </c>
      <c r="AO86" s="9">
        <v>1.4999999999999999E-2</v>
      </c>
      <c r="AP86" s="9">
        <v>1.4999999999999999E-2</v>
      </c>
      <c r="AQ86" s="9">
        <v>0</v>
      </c>
      <c r="AR86" s="9">
        <v>0</v>
      </c>
      <c r="AS86" s="9">
        <v>0</v>
      </c>
      <c r="AT86" s="9" t="s">
        <v>243</v>
      </c>
      <c r="AU86" s="9" t="s">
        <v>243</v>
      </c>
      <c r="AV86" s="9" t="b">
        <v>0</v>
      </c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9">
        <v>4287</v>
      </c>
      <c r="CZ86" s="9">
        <v>1372</v>
      </c>
      <c r="DA86" s="9">
        <v>956</v>
      </c>
      <c r="DB86" s="9">
        <v>3331</v>
      </c>
      <c r="DC86" s="9">
        <v>416</v>
      </c>
      <c r="DD86" s="9">
        <v>0.22299976673664601</v>
      </c>
      <c r="DE86" s="9">
        <v>0.69679300291545199</v>
      </c>
      <c r="DF86" s="9">
        <v>0.33786888142781402</v>
      </c>
    </row>
    <row r="87" spans="1:110" ht="16" customHeight="1" x14ac:dyDescent="0.2">
      <c r="A87" s="8" t="s">
        <v>41</v>
      </c>
      <c r="B87" s="9" t="s">
        <v>285</v>
      </c>
      <c r="C87" s="9" t="s">
        <v>276</v>
      </c>
      <c r="D87" s="9" t="s">
        <v>174</v>
      </c>
      <c r="E87" s="9" t="s">
        <v>175</v>
      </c>
      <c r="F87" s="9" t="s">
        <v>176</v>
      </c>
      <c r="G87" s="9">
        <v>0.5</v>
      </c>
      <c r="H87" s="9">
        <v>10</v>
      </c>
      <c r="I87" s="9" t="s">
        <v>177</v>
      </c>
      <c r="J87" s="9" t="s">
        <v>178</v>
      </c>
      <c r="K87" s="9" t="s">
        <v>179</v>
      </c>
      <c r="L87" s="9" t="s">
        <v>180</v>
      </c>
      <c r="M87" s="9">
        <v>4351</v>
      </c>
      <c r="N87" s="9">
        <v>0.233049873592278</v>
      </c>
      <c r="O87" s="9">
        <v>0.73906705539358597</v>
      </c>
      <c r="P87" s="9">
        <v>0.35435960160754898</v>
      </c>
      <c r="Q87" s="9">
        <v>13.07</v>
      </c>
      <c r="R87" s="9">
        <v>982</v>
      </c>
      <c r="S87" s="9">
        <v>982</v>
      </c>
      <c r="T87" s="9">
        <v>257891</v>
      </c>
      <c r="U87" s="9">
        <v>2026</v>
      </c>
      <c r="V87" s="9">
        <v>259917</v>
      </c>
      <c r="W87" s="9">
        <v>31</v>
      </c>
      <c r="X87" s="9">
        <v>257891</v>
      </c>
      <c r="Y87" s="9">
        <v>2026</v>
      </c>
      <c r="Z87" s="9">
        <v>259917</v>
      </c>
      <c r="AA87" s="9">
        <v>9828</v>
      </c>
      <c r="AB87" s="9">
        <v>9828</v>
      </c>
      <c r="AC87" s="9">
        <v>0</v>
      </c>
      <c r="AD87" s="9">
        <v>0</v>
      </c>
      <c r="AE87" s="9">
        <v>6.9329999999999998</v>
      </c>
      <c r="AF87" s="9">
        <v>6.117</v>
      </c>
      <c r="AG87" s="9">
        <v>5.0000000000000001E-3</v>
      </c>
      <c r="AH87" s="9">
        <v>1.4999999999999999E-2</v>
      </c>
      <c r="AI87" s="9">
        <v>0.115</v>
      </c>
      <c r="AJ87" s="9">
        <v>0</v>
      </c>
      <c r="AK87" s="9">
        <v>0</v>
      </c>
      <c r="AL87" s="9">
        <v>0</v>
      </c>
      <c r="AM87" s="9">
        <v>0</v>
      </c>
      <c r="AN87" s="9">
        <v>5.8929999999999998</v>
      </c>
      <c r="AO87" s="9">
        <v>1.4999999999999999E-2</v>
      </c>
      <c r="AP87" s="9">
        <v>1.4999999999999999E-2</v>
      </c>
      <c r="AQ87" s="9">
        <v>0</v>
      </c>
      <c r="AR87" s="9">
        <v>0</v>
      </c>
      <c r="AS87" s="9">
        <v>0</v>
      </c>
      <c r="AT87" s="9" t="s">
        <v>243</v>
      </c>
      <c r="AU87" s="9" t="s">
        <v>243</v>
      </c>
      <c r="AV87" s="9" t="b">
        <v>0</v>
      </c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9">
        <v>4351</v>
      </c>
      <c r="CZ87" s="9">
        <v>1372</v>
      </c>
      <c r="DA87" s="9">
        <v>1014</v>
      </c>
      <c r="DB87" s="9">
        <v>3337</v>
      </c>
      <c r="DC87" s="9">
        <v>358</v>
      </c>
      <c r="DD87" s="9">
        <v>0.233049873592278</v>
      </c>
      <c r="DE87" s="9">
        <v>0.73906705539358597</v>
      </c>
      <c r="DF87" s="9">
        <v>0.35435960160754898</v>
      </c>
    </row>
    <row r="91" spans="1:110" x14ac:dyDescent="0.2">
      <c r="A91" s="8" t="s">
        <v>0</v>
      </c>
      <c r="B91" s="8" t="s">
        <v>71</v>
      </c>
      <c r="C91" s="8" t="s">
        <v>72</v>
      </c>
      <c r="D91" s="8" t="s">
        <v>73</v>
      </c>
      <c r="E91" s="8" t="s">
        <v>74</v>
      </c>
      <c r="F91" s="8" t="s">
        <v>75</v>
      </c>
      <c r="G91" s="8" t="s">
        <v>76</v>
      </c>
      <c r="H91" s="8" t="s">
        <v>77</v>
      </c>
      <c r="I91" s="8" t="s">
        <v>78</v>
      </c>
      <c r="J91" s="8" t="s">
        <v>79</v>
      </c>
      <c r="K91" s="8" t="s">
        <v>80</v>
      </c>
      <c r="L91" s="8" t="s">
        <v>81</v>
      </c>
      <c r="M91" s="8" t="s">
        <v>82</v>
      </c>
      <c r="N91" s="8" t="s">
        <v>83</v>
      </c>
      <c r="O91" s="8" t="s">
        <v>84</v>
      </c>
      <c r="P91" s="8" t="s">
        <v>85</v>
      </c>
      <c r="Q91" s="8" t="s">
        <v>86</v>
      </c>
      <c r="R91" s="8" t="s">
        <v>87</v>
      </c>
      <c r="S91" s="8" t="s">
        <v>88</v>
      </c>
      <c r="T91" s="8" t="s">
        <v>89</v>
      </c>
      <c r="U91" s="8" t="s">
        <v>90</v>
      </c>
      <c r="V91" s="8" t="s">
        <v>91</v>
      </c>
      <c r="W91" s="8" t="s">
        <v>92</v>
      </c>
      <c r="X91" s="8" t="s">
        <v>93</v>
      </c>
      <c r="Y91" s="8" t="s">
        <v>94</v>
      </c>
      <c r="Z91" s="8" t="s">
        <v>95</v>
      </c>
      <c r="AA91" s="8" t="s">
        <v>96</v>
      </c>
      <c r="AB91" s="8" t="s">
        <v>97</v>
      </c>
      <c r="AC91" s="8" t="s">
        <v>98</v>
      </c>
      <c r="AD91" s="8" t="s">
        <v>99</v>
      </c>
      <c r="AE91" s="8" t="s">
        <v>100</v>
      </c>
      <c r="AF91" s="8" t="s">
        <v>101</v>
      </c>
      <c r="AG91" s="8" t="s">
        <v>102</v>
      </c>
      <c r="AH91" s="8" t="s">
        <v>103</v>
      </c>
      <c r="AI91" s="8" t="s">
        <v>104</v>
      </c>
      <c r="AJ91" s="8" t="s">
        <v>105</v>
      </c>
      <c r="AK91" s="8" t="s">
        <v>106</v>
      </c>
      <c r="AL91" s="8" t="s">
        <v>107</v>
      </c>
      <c r="AM91" s="8" t="s">
        <v>108</v>
      </c>
      <c r="AN91" s="8" t="s">
        <v>109</v>
      </c>
      <c r="AO91" s="8" t="s">
        <v>110</v>
      </c>
      <c r="AP91" s="8" t="s">
        <v>111</v>
      </c>
      <c r="AQ91" s="8" t="s">
        <v>112</v>
      </c>
      <c r="AR91" s="8" t="s">
        <v>113</v>
      </c>
      <c r="AS91" s="8" t="s">
        <v>114</v>
      </c>
      <c r="AT91" s="8" t="s">
        <v>115</v>
      </c>
      <c r="AU91" s="8" t="s">
        <v>116</v>
      </c>
      <c r="AV91" s="8" t="s">
        <v>117</v>
      </c>
      <c r="AW91" s="8" t="s">
        <v>118</v>
      </c>
      <c r="AX91" s="8" t="s">
        <v>119</v>
      </c>
      <c r="AY91" s="8" t="s">
        <v>120</v>
      </c>
      <c r="AZ91" s="8" t="s">
        <v>121</v>
      </c>
      <c r="BA91" s="8" t="s">
        <v>122</v>
      </c>
      <c r="BB91" s="8" t="s">
        <v>123</v>
      </c>
      <c r="BC91" s="8" t="s">
        <v>124</v>
      </c>
      <c r="BD91" s="8" t="s">
        <v>125</v>
      </c>
      <c r="BE91" s="8" t="s">
        <v>126</v>
      </c>
      <c r="BF91" s="8" t="s">
        <v>127</v>
      </c>
      <c r="BG91" s="8" t="s">
        <v>128</v>
      </c>
      <c r="BH91" s="8" t="s">
        <v>129</v>
      </c>
      <c r="BI91" s="8" t="s">
        <v>130</v>
      </c>
      <c r="BJ91" s="8" t="s">
        <v>131</v>
      </c>
      <c r="BK91" s="8" t="s">
        <v>132</v>
      </c>
      <c r="BL91" s="8" t="s">
        <v>133</v>
      </c>
      <c r="BM91" s="8" t="s">
        <v>134</v>
      </c>
      <c r="BN91" s="8" t="s">
        <v>135</v>
      </c>
      <c r="BO91" s="8" t="s">
        <v>136</v>
      </c>
      <c r="BP91" s="8" t="s">
        <v>137</v>
      </c>
      <c r="BQ91" s="8" t="s">
        <v>138</v>
      </c>
      <c r="BR91" s="8" t="s">
        <v>139</v>
      </c>
      <c r="BS91" s="8" t="s">
        <v>140</v>
      </c>
      <c r="BT91" s="8" t="s">
        <v>141</v>
      </c>
      <c r="BU91" s="8" t="s">
        <v>142</v>
      </c>
      <c r="BV91" s="8" t="s">
        <v>143</v>
      </c>
      <c r="BW91" s="8" t="s">
        <v>144</v>
      </c>
      <c r="BX91" s="8" t="s">
        <v>145</v>
      </c>
      <c r="BY91" s="8" t="s">
        <v>146</v>
      </c>
      <c r="BZ91" s="8" t="s">
        <v>147</v>
      </c>
      <c r="CA91" s="8" t="s">
        <v>148</v>
      </c>
      <c r="CB91" s="8" t="s">
        <v>149</v>
      </c>
      <c r="CC91" s="8" t="s">
        <v>150</v>
      </c>
      <c r="CD91" s="8" t="s">
        <v>151</v>
      </c>
      <c r="CE91" s="8" t="s">
        <v>152</v>
      </c>
      <c r="CF91" s="8" t="s">
        <v>153</v>
      </c>
      <c r="CG91" s="8" t="s">
        <v>154</v>
      </c>
      <c r="CH91" s="8" t="s">
        <v>155</v>
      </c>
      <c r="CI91" s="8" t="s">
        <v>156</v>
      </c>
      <c r="CJ91" s="8" t="s">
        <v>157</v>
      </c>
      <c r="CK91" s="8" t="s">
        <v>158</v>
      </c>
      <c r="CL91" s="8" t="s">
        <v>159</v>
      </c>
      <c r="CM91" s="8" t="s">
        <v>160</v>
      </c>
      <c r="CN91" s="8" t="s">
        <v>161</v>
      </c>
      <c r="CO91" s="8" t="s">
        <v>162</v>
      </c>
      <c r="CP91" s="8" t="s">
        <v>163</v>
      </c>
      <c r="CQ91" s="8" t="s">
        <v>164</v>
      </c>
      <c r="CR91" s="8" t="s">
        <v>165</v>
      </c>
      <c r="CS91" s="8" t="s">
        <v>166</v>
      </c>
      <c r="CT91" s="8" t="s">
        <v>167</v>
      </c>
      <c r="CU91" s="8" t="s">
        <v>168</v>
      </c>
      <c r="CV91" s="8" t="s">
        <v>169</v>
      </c>
      <c r="CW91" s="8" t="s">
        <v>170</v>
      </c>
      <c r="CX91" s="8" t="s">
        <v>171</v>
      </c>
    </row>
    <row r="92" spans="1:110" ht="16" customHeight="1" x14ac:dyDescent="0.2">
      <c r="A92" s="8" t="s">
        <v>35</v>
      </c>
      <c r="B92" s="9" t="s">
        <v>286</v>
      </c>
      <c r="C92" s="9" t="s">
        <v>173</v>
      </c>
      <c r="D92" s="9" t="s">
        <v>174</v>
      </c>
      <c r="E92" s="9" t="s">
        <v>175</v>
      </c>
      <c r="F92" s="9" t="s">
        <v>176</v>
      </c>
      <c r="G92" s="9">
        <v>0.5</v>
      </c>
      <c r="H92" s="9">
        <v>1</v>
      </c>
      <c r="I92" s="9" t="s">
        <v>177</v>
      </c>
      <c r="J92" s="9" t="s">
        <v>178</v>
      </c>
      <c r="K92" s="9" t="s">
        <v>179</v>
      </c>
      <c r="L92" s="9" t="s">
        <v>180</v>
      </c>
      <c r="M92" s="9">
        <v>122</v>
      </c>
      <c r="N92" s="9">
        <v>0.20901639344262299</v>
      </c>
      <c r="O92" s="9">
        <v>0.25</v>
      </c>
      <c r="P92" s="9">
        <v>0.22767857142857101</v>
      </c>
      <c r="Q92" s="9">
        <v>7.91</v>
      </c>
      <c r="R92" s="9">
        <v>15</v>
      </c>
      <c r="S92" s="9">
        <v>15</v>
      </c>
      <c r="T92" s="9">
        <v>61775</v>
      </c>
      <c r="U92" s="9">
        <v>30</v>
      </c>
      <c r="V92" s="9">
        <v>61805</v>
      </c>
      <c r="W92" s="9">
        <v>15</v>
      </c>
      <c r="X92" s="9">
        <v>61775</v>
      </c>
      <c r="Y92" s="9">
        <v>30</v>
      </c>
      <c r="Z92" s="9">
        <v>61805</v>
      </c>
      <c r="AA92" s="9">
        <v>610</v>
      </c>
      <c r="AB92" s="9">
        <v>610</v>
      </c>
      <c r="AC92" s="9">
        <v>0</v>
      </c>
      <c r="AD92" s="9">
        <v>0</v>
      </c>
      <c r="AE92" s="9">
        <v>5.0000000000000001E-3</v>
      </c>
      <c r="AF92" s="9">
        <v>7.9</v>
      </c>
      <c r="AG92" s="9">
        <v>3.0000000000000001E-3</v>
      </c>
      <c r="AH92" s="9">
        <v>4.0000000000000001E-3</v>
      </c>
      <c r="AI92" s="9">
        <v>0.40500000000000003</v>
      </c>
      <c r="AJ92" s="9">
        <v>2E-3</v>
      </c>
      <c r="AK92" s="9">
        <v>5.0000000000000001E-3</v>
      </c>
      <c r="AL92" s="9">
        <v>0</v>
      </c>
      <c r="AM92" s="9">
        <v>5.0000000000000001E-3</v>
      </c>
      <c r="AN92" s="9">
        <v>7.1269999999999998</v>
      </c>
      <c r="AO92" s="9">
        <v>2.4E-2</v>
      </c>
      <c r="AP92" s="9">
        <v>2E-3</v>
      </c>
      <c r="AQ92" s="9">
        <v>1E-3</v>
      </c>
      <c r="AR92" s="9">
        <v>0</v>
      </c>
      <c r="AS92" s="9">
        <v>1E-3</v>
      </c>
      <c r="AT92" s="9">
        <v>5</v>
      </c>
      <c r="AU92" s="9">
        <v>24</v>
      </c>
      <c r="AV92" s="9" t="b">
        <v>0</v>
      </c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</row>
    <row r="93" spans="1:110" ht="16" customHeight="1" x14ac:dyDescent="0.2">
      <c r="A93" s="8" t="s">
        <v>35</v>
      </c>
      <c r="B93" s="9" t="s">
        <v>287</v>
      </c>
      <c r="C93" s="9" t="s">
        <v>173</v>
      </c>
      <c r="D93" s="9" t="s">
        <v>174</v>
      </c>
      <c r="E93" s="9" t="s">
        <v>175</v>
      </c>
      <c r="F93" s="9" t="s">
        <v>176</v>
      </c>
      <c r="G93" s="9">
        <v>0.5</v>
      </c>
      <c r="H93" s="9">
        <v>2</v>
      </c>
      <c r="I93" s="9" t="s">
        <v>177</v>
      </c>
      <c r="J93" s="9" t="s">
        <v>178</v>
      </c>
      <c r="K93" s="9" t="s">
        <v>179</v>
      </c>
      <c r="L93" s="9" t="s">
        <v>180</v>
      </c>
      <c r="M93" s="9">
        <v>122</v>
      </c>
      <c r="N93" s="9">
        <v>0.20901639344262299</v>
      </c>
      <c r="O93" s="9">
        <v>0.25</v>
      </c>
      <c r="P93" s="9">
        <v>0.22767857142857101</v>
      </c>
      <c r="Q93" s="9">
        <v>4.5599999999999996</v>
      </c>
      <c r="R93" s="9">
        <v>15</v>
      </c>
      <c r="S93" s="9">
        <v>15</v>
      </c>
      <c r="T93" s="9">
        <v>61775</v>
      </c>
      <c r="U93" s="9">
        <v>30</v>
      </c>
      <c r="V93" s="9">
        <v>61805</v>
      </c>
      <c r="W93" s="9">
        <v>15</v>
      </c>
      <c r="X93" s="9">
        <v>61775</v>
      </c>
      <c r="Y93" s="9">
        <v>30</v>
      </c>
      <c r="Z93" s="9">
        <v>61805</v>
      </c>
      <c r="AA93" s="9">
        <v>610</v>
      </c>
      <c r="AB93" s="9">
        <v>610</v>
      </c>
      <c r="AC93" s="9">
        <v>0</v>
      </c>
      <c r="AD93" s="9">
        <v>0</v>
      </c>
      <c r="AE93" s="9">
        <v>2E-3</v>
      </c>
      <c r="AF93" s="9">
        <v>4.5519999999999996</v>
      </c>
      <c r="AG93" s="9">
        <v>2E-3</v>
      </c>
      <c r="AH93" s="9">
        <v>3.0000000000000001E-3</v>
      </c>
      <c r="AI93" s="9">
        <v>0.19500000000000001</v>
      </c>
      <c r="AJ93" s="9">
        <v>0</v>
      </c>
      <c r="AK93" s="9">
        <v>4.0000000000000001E-3</v>
      </c>
      <c r="AL93" s="9">
        <v>0</v>
      </c>
      <c r="AM93" s="9">
        <v>4.0000000000000001E-3</v>
      </c>
      <c r="AN93" s="9">
        <v>4.1980000000000004</v>
      </c>
      <c r="AO93" s="9">
        <v>1.4E-2</v>
      </c>
      <c r="AP93" s="9">
        <v>1E-3</v>
      </c>
      <c r="AQ93" s="9">
        <v>1E-3</v>
      </c>
      <c r="AR93" s="9">
        <v>0</v>
      </c>
      <c r="AS93" s="9">
        <v>1E-3</v>
      </c>
      <c r="AT93" s="9">
        <v>5</v>
      </c>
      <c r="AU93" s="9">
        <v>24</v>
      </c>
      <c r="AV93" s="9" t="b">
        <v>0</v>
      </c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</row>
    <row r="94" spans="1:110" ht="16" customHeight="1" x14ac:dyDescent="0.2">
      <c r="A94" s="8" t="s">
        <v>35</v>
      </c>
      <c r="B94" s="9" t="s">
        <v>288</v>
      </c>
      <c r="C94" s="9" t="s">
        <v>173</v>
      </c>
      <c r="D94" s="9" t="s">
        <v>174</v>
      </c>
      <c r="E94" s="9" t="s">
        <v>175</v>
      </c>
      <c r="F94" s="9" t="s">
        <v>176</v>
      </c>
      <c r="G94" s="9">
        <v>0.5</v>
      </c>
      <c r="H94" s="9">
        <v>3</v>
      </c>
      <c r="I94" s="9" t="s">
        <v>177</v>
      </c>
      <c r="J94" s="9" t="s">
        <v>178</v>
      </c>
      <c r="K94" s="9" t="s">
        <v>179</v>
      </c>
      <c r="L94" s="9" t="s">
        <v>180</v>
      </c>
      <c r="M94" s="9">
        <v>122</v>
      </c>
      <c r="N94" s="9">
        <v>0.210743801652893</v>
      </c>
      <c r="O94" s="9">
        <v>0.25</v>
      </c>
      <c r="P94" s="9">
        <v>0.228699551569507</v>
      </c>
      <c r="Q94" s="9">
        <v>4.51</v>
      </c>
      <c r="R94" s="9">
        <v>18</v>
      </c>
      <c r="S94" s="9">
        <v>18</v>
      </c>
      <c r="T94" s="9">
        <v>45304</v>
      </c>
      <c r="U94" s="9">
        <v>36</v>
      </c>
      <c r="V94" s="9">
        <v>45340</v>
      </c>
      <c r="W94" s="9">
        <v>18</v>
      </c>
      <c r="X94" s="9">
        <v>45304</v>
      </c>
      <c r="Y94" s="9">
        <v>36</v>
      </c>
      <c r="Z94" s="9">
        <v>45340</v>
      </c>
      <c r="AA94" s="9">
        <v>610</v>
      </c>
      <c r="AB94" s="9">
        <v>610</v>
      </c>
      <c r="AC94" s="9">
        <v>0</v>
      </c>
      <c r="AD94" s="9">
        <v>0</v>
      </c>
      <c r="AE94" s="9">
        <v>1E-3</v>
      </c>
      <c r="AF94" s="9">
        <v>4.508</v>
      </c>
      <c r="AG94" s="9">
        <v>2E-3</v>
      </c>
      <c r="AH94" s="9">
        <v>2E-3</v>
      </c>
      <c r="AI94" s="9">
        <v>0.191</v>
      </c>
      <c r="AJ94" s="9">
        <v>0</v>
      </c>
      <c r="AK94" s="9">
        <v>5.0000000000000001E-3</v>
      </c>
      <c r="AL94" s="9">
        <v>0</v>
      </c>
      <c r="AM94" s="9">
        <v>4.0000000000000001E-3</v>
      </c>
      <c r="AN94" s="9">
        <v>4.2220000000000004</v>
      </c>
      <c r="AO94" s="9">
        <v>1.2E-2</v>
      </c>
      <c r="AP94" s="9">
        <v>1E-3</v>
      </c>
      <c r="AQ94" s="9">
        <v>1E-3</v>
      </c>
      <c r="AR94" s="9">
        <v>0</v>
      </c>
      <c r="AS94" s="9">
        <v>1E-3</v>
      </c>
      <c r="AT94" s="9">
        <v>5</v>
      </c>
      <c r="AU94" s="9">
        <v>25</v>
      </c>
      <c r="AV94" s="9" t="b">
        <v>0</v>
      </c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</row>
    <row r="95" spans="1:110" ht="16" customHeight="1" x14ac:dyDescent="0.2">
      <c r="A95" s="8" t="s">
        <v>35</v>
      </c>
      <c r="B95" s="9" t="s">
        <v>289</v>
      </c>
      <c r="C95" s="9" t="s">
        <v>173</v>
      </c>
      <c r="D95" s="9" t="s">
        <v>174</v>
      </c>
      <c r="E95" s="9" t="s">
        <v>175</v>
      </c>
      <c r="F95" s="9" t="s">
        <v>176</v>
      </c>
      <c r="G95" s="9">
        <v>0.5</v>
      </c>
      <c r="H95" s="9">
        <v>4</v>
      </c>
      <c r="I95" s="9" t="s">
        <v>177</v>
      </c>
      <c r="J95" s="9" t="s">
        <v>178</v>
      </c>
      <c r="K95" s="9" t="s">
        <v>179</v>
      </c>
      <c r="L95" s="9" t="s">
        <v>180</v>
      </c>
      <c r="M95" s="9">
        <v>124</v>
      </c>
      <c r="N95" s="9">
        <v>0.33750000000000002</v>
      </c>
      <c r="O95" s="9">
        <v>0.27083333333333298</v>
      </c>
      <c r="P95" s="9">
        <v>0.26544401544401502</v>
      </c>
      <c r="Q95" s="9">
        <v>5.1100000000000003</v>
      </c>
      <c r="R95" s="9">
        <v>24</v>
      </c>
      <c r="S95" s="9">
        <v>24</v>
      </c>
      <c r="T95" s="9">
        <v>63086</v>
      </c>
      <c r="U95" s="9">
        <v>48</v>
      </c>
      <c r="V95" s="9">
        <v>63134</v>
      </c>
      <c r="W95" s="9">
        <v>24</v>
      </c>
      <c r="X95" s="9">
        <v>63086</v>
      </c>
      <c r="Y95" s="9">
        <v>48</v>
      </c>
      <c r="Z95" s="9">
        <v>63134</v>
      </c>
      <c r="AA95" s="9">
        <v>610</v>
      </c>
      <c r="AB95" s="9">
        <v>610</v>
      </c>
      <c r="AC95" s="9">
        <v>0</v>
      </c>
      <c r="AD95" s="9">
        <v>0</v>
      </c>
      <c r="AE95" s="9">
        <v>1E-3</v>
      </c>
      <c r="AF95" s="9">
        <v>5.1070000000000002</v>
      </c>
      <c r="AG95" s="9">
        <v>3.0000000000000001E-3</v>
      </c>
      <c r="AH95" s="9">
        <v>3.0000000000000001E-3</v>
      </c>
      <c r="AI95" s="9">
        <v>0.18099999999999999</v>
      </c>
      <c r="AJ95" s="9">
        <v>0</v>
      </c>
      <c r="AK95" s="9">
        <v>4.0000000000000001E-3</v>
      </c>
      <c r="AL95" s="9">
        <v>0</v>
      </c>
      <c r="AM95" s="9">
        <v>7.0000000000000001E-3</v>
      </c>
      <c r="AN95" s="9">
        <v>4.8380000000000001</v>
      </c>
      <c r="AO95" s="9">
        <v>1.0999999999999999E-2</v>
      </c>
      <c r="AP95" s="9">
        <v>1E-3</v>
      </c>
      <c r="AQ95" s="9">
        <v>1E-3</v>
      </c>
      <c r="AR95" s="9">
        <v>0</v>
      </c>
      <c r="AS95" s="9">
        <v>1E-3</v>
      </c>
      <c r="AT95" s="9">
        <v>16</v>
      </c>
      <c r="AU95" s="9">
        <v>24</v>
      </c>
      <c r="AV95" s="9" t="b">
        <v>0</v>
      </c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</row>
    <row r="96" spans="1:110" ht="16" customHeight="1" x14ac:dyDescent="0.2">
      <c r="A96" s="8" t="s">
        <v>35</v>
      </c>
      <c r="B96" s="9" t="s">
        <v>172</v>
      </c>
      <c r="C96" s="9" t="s">
        <v>173</v>
      </c>
      <c r="D96" s="9" t="s">
        <v>174</v>
      </c>
      <c r="E96" s="9" t="s">
        <v>175</v>
      </c>
      <c r="F96" s="9" t="s">
        <v>176</v>
      </c>
      <c r="G96" s="9">
        <v>0.5</v>
      </c>
      <c r="H96" s="9">
        <v>5</v>
      </c>
      <c r="I96" s="9" t="s">
        <v>177</v>
      </c>
      <c r="J96" s="9" t="s">
        <v>178</v>
      </c>
      <c r="K96" s="9" t="s">
        <v>179</v>
      </c>
      <c r="L96" s="9" t="s">
        <v>180</v>
      </c>
      <c r="M96" s="9">
        <v>123</v>
      </c>
      <c r="N96" s="9">
        <v>0.46250000000000002</v>
      </c>
      <c r="O96" s="9">
        <v>0.29166666666666702</v>
      </c>
      <c r="P96" s="9">
        <v>0.301158301158301</v>
      </c>
      <c r="Q96" s="9">
        <v>8.2200000000000006</v>
      </c>
      <c r="R96" s="9">
        <v>30</v>
      </c>
      <c r="S96" s="9">
        <v>30</v>
      </c>
      <c r="T96" s="9">
        <v>94216</v>
      </c>
      <c r="U96" s="9">
        <v>60</v>
      </c>
      <c r="V96" s="9">
        <v>94276</v>
      </c>
      <c r="W96" s="9">
        <v>30</v>
      </c>
      <c r="X96" s="9">
        <v>94216</v>
      </c>
      <c r="Y96" s="9">
        <v>60</v>
      </c>
      <c r="Z96" s="9">
        <v>94276</v>
      </c>
      <c r="AA96" s="9">
        <v>610</v>
      </c>
      <c r="AB96" s="9">
        <v>610</v>
      </c>
      <c r="AC96" s="9">
        <v>0</v>
      </c>
      <c r="AD96" s="9">
        <v>0</v>
      </c>
      <c r="AE96" s="9">
        <v>2E-3</v>
      </c>
      <c r="AF96" s="9">
        <v>8.2129999999999992</v>
      </c>
      <c r="AG96" s="9">
        <v>2E-3</v>
      </c>
      <c r="AH96" s="9">
        <v>3.0000000000000001E-3</v>
      </c>
      <c r="AI96" s="9">
        <v>0.161</v>
      </c>
      <c r="AJ96" s="9">
        <v>0</v>
      </c>
      <c r="AK96" s="9">
        <v>5.0000000000000001E-3</v>
      </c>
      <c r="AL96" s="9">
        <v>0</v>
      </c>
      <c r="AM96" s="9">
        <v>7.0000000000000001E-3</v>
      </c>
      <c r="AN96" s="9">
        <v>7.9539999999999997</v>
      </c>
      <c r="AO96" s="9">
        <v>1.2999999999999999E-2</v>
      </c>
      <c r="AP96" s="9">
        <v>1E-3</v>
      </c>
      <c r="AQ96" s="9">
        <v>1E-3</v>
      </c>
      <c r="AR96" s="9">
        <v>1E-3</v>
      </c>
      <c r="AS96" s="9">
        <v>1E-3</v>
      </c>
      <c r="AT96" s="9">
        <v>17</v>
      </c>
      <c r="AU96" s="9">
        <v>24</v>
      </c>
      <c r="AV96" s="9" t="b">
        <v>0</v>
      </c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</row>
    <row r="97" spans="1:102" ht="16" customHeight="1" x14ac:dyDescent="0.2">
      <c r="A97" s="8" t="s">
        <v>35</v>
      </c>
      <c r="B97" s="9" t="s">
        <v>290</v>
      </c>
      <c r="C97" s="9" t="s">
        <v>173</v>
      </c>
      <c r="D97" s="9" t="s">
        <v>174</v>
      </c>
      <c r="E97" s="9" t="s">
        <v>175</v>
      </c>
      <c r="F97" s="9" t="s">
        <v>176</v>
      </c>
      <c r="G97" s="9">
        <v>0.5</v>
      </c>
      <c r="H97" s="9">
        <v>6</v>
      </c>
      <c r="I97" s="9" t="s">
        <v>177</v>
      </c>
      <c r="J97" s="9" t="s">
        <v>178</v>
      </c>
      <c r="K97" s="9" t="s">
        <v>179</v>
      </c>
      <c r="L97" s="9" t="s">
        <v>180</v>
      </c>
      <c r="M97" s="9">
        <v>123</v>
      </c>
      <c r="N97" s="9">
        <v>0.46074380165289303</v>
      </c>
      <c r="O97" s="9">
        <v>0.27083333333333298</v>
      </c>
      <c r="P97" s="9">
        <v>0.26716109003104499</v>
      </c>
      <c r="Q97" s="9">
        <v>10.15</v>
      </c>
      <c r="R97" s="9">
        <v>36</v>
      </c>
      <c r="S97" s="9">
        <v>36</v>
      </c>
      <c r="T97" s="9">
        <v>128022</v>
      </c>
      <c r="U97" s="9">
        <v>72</v>
      </c>
      <c r="V97" s="9">
        <v>128094</v>
      </c>
      <c r="W97" s="9">
        <v>36</v>
      </c>
      <c r="X97" s="9">
        <v>128022</v>
      </c>
      <c r="Y97" s="9">
        <v>72</v>
      </c>
      <c r="Z97" s="9">
        <v>128094</v>
      </c>
      <c r="AA97" s="9">
        <v>610</v>
      </c>
      <c r="AB97" s="9">
        <v>610</v>
      </c>
      <c r="AC97" s="9">
        <v>0</v>
      </c>
      <c r="AD97" s="9">
        <v>0</v>
      </c>
      <c r="AE97" s="9">
        <v>1E-3</v>
      </c>
      <c r="AF97" s="9">
        <v>10.145</v>
      </c>
      <c r="AG97" s="9">
        <v>2E-3</v>
      </c>
      <c r="AH97" s="9">
        <v>3.0000000000000001E-3</v>
      </c>
      <c r="AI97" s="9">
        <v>0.158</v>
      </c>
      <c r="AJ97" s="9">
        <v>1E-3</v>
      </c>
      <c r="AK97" s="9">
        <v>5.0000000000000001E-3</v>
      </c>
      <c r="AL97" s="9">
        <v>0</v>
      </c>
      <c r="AM97" s="9">
        <v>0.01</v>
      </c>
      <c r="AN97" s="9">
        <v>9.8930000000000007</v>
      </c>
      <c r="AO97" s="9">
        <v>1.0999999999999999E-2</v>
      </c>
      <c r="AP97" s="9">
        <v>1E-3</v>
      </c>
      <c r="AQ97" s="9">
        <v>1E-3</v>
      </c>
      <c r="AR97" s="9">
        <v>0</v>
      </c>
      <c r="AS97" s="9">
        <v>1E-3</v>
      </c>
      <c r="AT97" s="9">
        <v>18</v>
      </c>
      <c r="AU97" s="9">
        <v>22</v>
      </c>
      <c r="AV97" s="9" t="b">
        <v>0</v>
      </c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</row>
    <row r="98" spans="1:102" ht="16" customHeight="1" x14ac:dyDescent="0.2">
      <c r="A98" s="8" t="s">
        <v>35</v>
      </c>
      <c r="B98" s="9" t="s">
        <v>291</v>
      </c>
      <c r="C98" s="9" t="s">
        <v>173</v>
      </c>
      <c r="D98" s="9" t="s">
        <v>174</v>
      </c>
      <c r="E98" s="9" t="s">
        <v>175</v>
      </c>
      <c r="F98" s="9" t="s">
        <v>176</v>
      </c>
      <c r="G98" s="9">
        <v>0.5</v>
      </c>
      <c r="H98" s="9">
        <v>7</v>
      </c>
      <c r="I98" s="9" t="s">
        <v>177</v>
      </c>
      <c r="J98" s="9" t="s">
        <v>178</v>
      </c>
      <c r="K98" s="9" t="s">
        <v>179</v>
      </c>
      <c r="L98" s="9" t="s">
        <v>180</v>
      </c>
      <c r="M98" s="9">
        <v>124</v>
      </c>
      <c r="N98" s="9">
        <v>0.46250000000000002</v>
      </c>
      <c r="O98" s="9">
        <v>0.29166666666666702</v>
      </c>
      <c r="P98" s="9">
        <v>0.301158301158301</v>
      </c>
      <c r="Q98" s="9">
        <v>10.87</v>
      </c>
      <c r="R98" s="9">
        <v>42</v>
      </c>
      <c r="S98" s="9">
        <v>42</v>
      </c>
      <c r="T98" s="9">
        <v>159156</v>
      </c>
      <c r="U98" s="9">
        <v>84</v>
      </c>
      <c r="V98" s="9">
        <v>159240</v>
      </c>
      <c r="W98" s="9">
        <v>42</v>
      </c>
      <c r="X98" s="9">
        <v>159156</v>
      </c>
      <c r="Y98" s="9">
        <v>84</v>
      </c>
      <c r="Z98" s="9">
        <v>159240</v>
      </c>
      <c r="AA98" s="9">
        <v>610</v>
      </c>
      <c r="AB98" s="9">
        <v>610</v>
      </c>
      <c r="AC98" s="9">
        <v>0</v>
      </c>
      <c r="AD98" s="9">
        <v>0</v>
      </c>
      <c r="AE98" s="9">
        <v>1E-3</v>
      </c>
      <c r="AF98" s="9">
        <v>10.863</v>
      </c>
      <c r="AG98" s="9">
        <v>2E-3</v>
      </c>
      <c r="AH98" s="9">
        <v>3.0000000000000001E-3</v>
      </c>
      <c r="AI98" s="9">
        <v>0.16300000000000001</v>
      </c>
      <c r="AJ98" s="9">
        <v>0</v>
      </c>
      <c r="AK98" s="9">
        <v>6.0000000000000001E-3</v>
      </c>
      <c r="AL98" s="9">
        <v>0</v>
      </c>
      <c r="AM98" s="9">
        <v>1.0999999999999999E-2</v>
      </c>
      <c r="AN98" s="9">
        <v>10.618</v>
      </c>
      <c r="AO98" s="9">
        <v>1.0999999999999999E-2</v>
      </c>
      <c r="AP98" s="9">
        <v>1E-3</v>
      </c>
      <c r="AQ98" s="9">
        <v>1E-3</v>
      </c>
      <c r="AR98" s="9">
        <v>1E-3</v>
      </c>
      <c r="AS98" s="9">
        <v>1E-3</v>
      </c>
      <c r="AT98" s="9">
        <v>19</v>
      </c>
      <c r="AU98" s="9">
        <v>22</v>
      </c>
      <c r="AV98" s="9" t="b">
        <v>0</v>
      </c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</row>
    <row r="99" spans="1:102" ht="16" customHeight="1" x14ac:dyDescent="0.2">
      <c r="A99" s="8" t="s">
        <v>35</v>
      </c>
      <c r="B99" s="9" t="s">
        <v>292</v>
      </c>
      <c r="C99" s="9" t="s">
        <v>173</v>
      </c>
      <c r="D99" s="9" t="s">
        <v>174</v>
      </c>
      <c r="E99" s="9" t="s">
        <v>175</v>
      </c>
      <c r="F99" s="9" t="s">
        <v>176</v>
      </c>
      <c r="G99" s="9">
        <v>0.5</v>
      </c>
      <c r="H99" s="9">
        <v>8</v>
      </c>
      <c r="I99" s="9" t="s">
        <v>177</v>
      </c>
      <c r="J99" s="9" t="s">
        <v>178</v>
      </c>
      <c r="K99" s="9" t="s">
        <v>179</v>
      </c>
      <c r="L99" s="9" t="s">
        <v>180</v>
      </c>
      <c r="M99" s="9">
        <v>125</v>
      </c>
      <c r="N99" s="9">
        <v>0.46218487394958002</v>
      </c>
      <c r="O99" s="9">
        <v>0.28921568627451</v>
      </c>
      <c r="P99" s="9">
        <v>0.29993535875888799</v>
      </c>
      <c r="Q99" s="9">
        <v>13.11</v>
      </c>
      <c r="R99" s="9">
        <v>48</v>
      </c>
      <c r="S99" s="9">
        <v>48</v>
      </c>
      <c r="T99" s="9">
        <v>174272</v>
      </c>
      <c r="U99" s="9">
        <v>96</v>
      </c>
      <c r="V99" s="9">
        <v>174368</v>
      </c>
      <c r="W99" s="9">
        <v>48</v>
      </c>
      <c r="X99" s="9">
        <v>174272</v>
      </c>
      <c r="Y99" s="9">
        <v>96</v>
      </c>
      <c r="Z99" s="9">
        <v>174368</v>
      </c>
      <c r="AA99" s="9">
        <v>610</v>
      </c>
      <c r="AB99" s="9">
        <v>610</v>
      </c>
      <c r="AC99" s="9">
        <v>0</v>
      </c>
      <c r="AD99" s="9">
        <v>0</v>
      </c>
      <c r="AE99" s="9">
        <v>1E-3</v>
      </c>
      <c r="AF99" s="9">
        <v>13.101000000000001</v>
      </c>
      <c r="AG99" s="9">
        <v>2E-3</v>
      </c>
      <c r="AH99" s="9">
        <v>3.0000000000000001E-3</v>
      </c>
      <c r="AI99" s="9">
        <v>0.13100000000000001</v>
      </c>
      <c r="AJ99" s="9">
        <v>0</v>
      </c>
      <c r="AK99" s="9">
        <v>5.0000000000000001E-3</v>
      </c>
      <c r="AL99" s="9">
        <v>0</v>
      </c>
      <c r="AM99" s="9">
        <v>1.4E-2</v>
      </c>
      <c r="AN99" s="9">
        <v>12.885999999999999</v>
      </c>
      <c r="AO99" s="9">
        <v>0.01</v>
      </c>
      <c r="AP99" s="9">
        <v>1E-3</v>
      </c>
      <c r="AQ99" s="9">
        <v>1E-3</v>
      </c>
      <c r="AR99" s="9">
        <v>0</v>
      </c>
      <c r="AS99" s="9">
        <v>0</v>
      </c>
      <c r="AT99" s="9">
        <v>20</v>
      </c>
      <c r="AU99" s="9">
        <v>22</v>
      </c>
      <c r="AV99" s="9" t="b">
        <v>0</v>
      </c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</row>
    <row r="100" spans="1:102" ht="16" customHeight="1" x14ac:dyDescent="0.2">
      <c r="A100" s="8" t="s">
        <v>35</v>
      </c>
      <c r="B100" s="9" t="s">
        <v>293</v>
      </c>
      <c r="C100" s="9" t="s">
        <v>173</v>
      </c>
      <c r="D100" s="9" t="s">
        <v>174</v>
      </c>
      <c r="E100" s="9" t="s">
        <v>175</v>
      </c>
      <c r="F100" s="9" t="s">
        <v>176</v>
      </c>
      <c r="G100" s="9">
        <v>0.5</v>
      </c>
      <c r="H100" s="9">
        <v>9</v>
      </c>
      <c r="I100" s="9" t="s">
        <v>177</v>
      </c>
      <c r="J100" s="9" t="s">
        <v>178</v>
      </c>
      <c r="K100" s="9" t="s">
        <v>179</v>
      </c>
      <c r="L100" s="9" t="s">
        <v>180</v>
      </c>
      <c r="M100" s="9">
        <v>128</v>
      </c>
      <c r="N100" s="9">
        <v>0.46250000000000002</v>
      </c>
      <c r="O100" s="9">
        <v>0.29166666666666702</v>
      </c>
      <c r="P100" s="9">
        <v>0.301158301158301</v>
      </c>
      <c r="Q100" s="9">
        <v>12.57</v>
      </c>
      <c r="R100" s="9">
        <v>54</v>
      </c>
      <c r="S100" s="9">
        <v>54</v>
      </c>
      <c r="T100" s="9">
        <v>186678</v>
      </c>
      <c r="U100" s="9">
        <v>108</v>
      </c>
      <c r="V100" s="9">
        <v>186786</v>
      </c>
      <c r="W100" s="9">
        <v>54</v>
      </c>
      <c r="X100" s="9">
        <v>186678</v>
      </c>
      <c r="Y100" s="9">
        <v>108</v>
      </c>
      <c r="Z100" s="9">
        <v>186786</v>
      </c>
      <c r="AA100" s="9">
        <v>610</v>
      </c>
      <c r="AB100" s="9">
        <v>610</v>
      </c>
      <c r="AC100" s="9">
        <v>0</v>
      </c>
      <c r="AD100" s="9">
        <v>0</v>
      </c>
      <c r="AE100" s="9">
        <v>1E-3</v>
      </c>
      <c r="AF100" s="9">
        <v>12.561999999999999</v>
      </c>
      <c r="AG100" s="9">
        <v>2E-3</v>
      </c>
      <c r="AH100" s="9">
        <v>3.0000000000000001E-3</v>
      </c>
      <c r="AI100" s="9">
        <v>0.13200000000000001</v>
      </c>
      <c r="AJ100" s="9">
        <v>0</v>
      </c>
      <c r="AK100" s="9">
        <v>5.0000000000000001E-3</v>
      </c>
      <c r="AL100" s="9">
        <v>0</v>
      </c>
      <c r="AM100" s="9">
        <v>1.4E-2</v>
      </c>
      <c r="AN100" s="9">
        <v>12.347</v>
      </c>
      <c r="AO100" s="9">
        <v>8.9999999999999993E-3</v>
      </c>
      <c r="AP100" s="9">
        <v>1E-3</v>
      </c>
      <c r="AQ100" s="9">
        <v>1E-3</v>
      </c>
      <c r="AR100" s="9">
        <v>1E-3</v>
      </c>
      <c r="AS100" s="9">
        <v>1E-3</v>
      </c>
      <c r="AT100" s="9">
        <v>20</v>
      </c>
      <c r="AU100" s="9">
        <v>23</v>
      </c>
      <c r="AV100" s="9" t="b">
        <v>0</v>
      </c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</row>
    <row r="101" spans="1:102" s="28" customFormat="1" ht="16" customHeight="1" x14ac:dyDescent="0.2">
      <c r="A101" s="25" t="s">
        <v>35</v>
      </c>
      <c r="B101" s="26" t="s">
        <v>181</v>
      </c>
      <c r="C101" s="26" t="s">
        <v>173</v>
      </c>
      <c r="D101" s="26" t="s">
        <v>174</v>
      </c>
      <c r="E101" s="26" t="s">
        <v>175</v>
      </c>
      <c r="F101" s="26" t="s">
        <v>176</v>
      </c>
      <c r="G101" s="26">
        <v>0.5</v>
      </c>
      <c r="H101" s="26">
        <v>10</v>
      </c>
      <c r="I101" s="26" t="s">
        <v>177</v>
      </c>
      <c r="J101" s="26" t="s">
        <v>178</v>
      </c>
      <c r="K101" s="26" t="s">
        <v>179</v>
      </c>
      <c r="L101" s="26" t="s">
        <v>180</v>
      </c>
      <c r="M101" s="26">
        <v>129</v>
      </c>
      <c r="N101" s="26">
        <v>0.40331196581196599</v>
      </c>
      <c r="O101" s="26">
        <v>0.31004901960784298</v>
      </c>
      <c r="P101" s="26">
        <v>0.32434360730593598</v>
      </c>
      <c r="Q101" s="26">
        <v>15.87</v>
      </c>
      <c r="R101" s="26">
        <v>61</v>
      </c>
      <c r="S101" s="26">
        <v>61</v>
      </c>
      <c r="T101" s="26">
        <v>222121</v>
      </c>
      <c r="U101" s="26">
        <v>122</v>
      </c>
      <c r="V101" s="26">
        <v>222243</v>
      </c>
      <c r="W101" s="26">
        <v>61</v>
      </c>
      <c r="X101" s="26">
        <v>222121</v>
      </c>
      <c r="Y101" s="26">
        <v>122</v>
      </c>
      <c r="Z101" s="26">
        <v>222243</v>
      </c>
      <c r="AA101" s="26">
        <v>610</v>
      </c>
      <c r="AB101" s="26">
        <v>610</v>
      </c>
      <c r="AC101" s="26">
        <v>0</v>
      </c>
      <c r="AD101" s="26">
        <v>0</v>
      </c>
      <c r="AE101" s="26">
        <v>1E-3</v>
      </c>
      <c r="AF101" s="26">
        <v>15.863</v>
      </c>
      <c r="AG101" s="26">
        <v>2E-3</v>
      </c>
      <c r="AH101" s="26">
        <v>3.0000000000000001E-3</v>
      </c>
      <c r="AI101" s="26">
        <v>0.126</v>
      </c>
      <c r="AJ101" s="26">
        <v>0</v>
      </c>
      <c r="AK101" s="26">
        <v>5.0000000000000001E-3</v>
      </c>
      <c r="AL101" s="26">
        <v>0</v>
      </c>
      <c r="AM101" s="26">
        <v>1.4E-2</v>
      </c>
      <c r="AN101" s="26">
        <v>15.654999999999999</v>
      </c>
      <c r="AO101" s="26">
        <v>0.01</v>
      </c>
      <c r="AP101" s="26">
        <v>1E-3</v>
      </c>
      <c r="AQ101" s="26">
        <v>1E-3</v>
      </c>
      <c r="AR101" s="26">
        <v>1E-3</v>
      </c>
      <c r="AS101" s="26">
        <v>0</v>
      </c>
      <c r="AT101" s="26">
        <v>21</v>
      </c>
      <c r="AU101" s="26">
        <v>22</v>
      </c>
      <c r="AV101" s="26" t="b">
        <v>0</v>
      </c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</row>
    <row r="102" spans="1:102" ht="16" customHeight="1" x14ac:dyDescent="0.2">
      <c r="A102" s="8" t="s">
        <v>35</v>
      </c>
      <c r="B102" s="9" t="s">
        <v>294</v>
      </c>
      <c r="C102" s="9" t="s">
        <v>227</v>
      </c>
      <c r="D102" s="9" t="s">
        <v>174</v>
      </c>
      <c r="E102" s="9" t="s">
        <v>228</v>
      </c>
      <c r="F102" s="9" t="s">
        <v>176</v>
      </c>
      <c r="G102" s="9">
        <v>0.5</v>
      </c>
      <c r="H102" s="9">
        <v>1</v>
      </c>
      <c r="I102" s="9" t="s">
        <v>177</v>
      </c>
      <c r="J102" s="9" t="s">
        <v>178</v>
      </c>
      <c r="K102" s="9" t="s">
        <v>179</v>
      </c>
      <c r="L102" s="9" t="s">
        <v>180</v>
      </c>
      <c r="M102" s="9">
        <v>122</v>
      </c>
      <c r="N102" s="9">
        <v>0.20901639344262299</v>
      </c>
      <c r="O102" s="9">
        <v>0.25</v>
      </c>
      <c r="P102" s="9">
        <v>0.22767857142857101</v>
      </c>
      <c r="Q102" s="9">
        <v>3.99</v>
      </c>
      <c r="R102" s="9">
        <v>15</v>
      </c>
      <c r="S102" s="9">
        <v>15</v>
      </c>
      <c r="T102" s="9">
        <v>61775</v>
      </c>
      <c r="U102" s="9">
        <v>30</v>
      </c>
      <c r="V102" s="9">
        <v>61805</v>
      </c>
      <c r="W102" s="9">
        <v>15</v>
      </c>
      <c r="X102" s="9">
        <v>61775</v>
      </c>
      <c r="Y102" s="9">
        <v>30</v>
      </c>
      <c r="Z102" s="9">
        <v>61805</v>
      </c>
      <c r="AA102" s="9">
        <v>610</v>
      </c>
      <c r="AB102" s="9">
        <v>610</v>
      </c>
      <c r="AC102" s="9">
        <v>0</v>
      </c>
      <c r="AD102" s="9">
        <v>0</v>
      </c>
      <c r="AE102" s="9">
        <v>1E-3</v>
      </c>
      <c r="AF102" s="9">
        <v>3.9849999999999999</v>
      </c>
      <c r="AG102" s="9">
        <v>2E-3</v>
      </c>
      <c r="AH102" s="9">
        <v>2E-3</v>
      </c>
      <c r="AI102" s="9">
        <v>0.13800000000000001</v>
      </c>
      <c r="AJ102" s="9">
        <v>0</v>
      </c>
      <c r="AK102" s="9">
        <v>5.0000000000000001E-3</v>
      </c>
      <c r="AL102" s="9">
        <v>0</v>
      </c>
      <c r="AM102" s="9">
        <v>5.0000000000000001E-3</v>
      </c>
      <c r="AN102" s="9">
        <v>3.7629999999999999</v>
      </c>
      <c r="AO102" s="9">
        <v>0.01</v>
      </c>
      <c r="AP102" s="9">
        <v>1E-3</v>
      </c>
      <c r="AQ102" s="9">
        <v>1E-3</v>
      </c>
      <c r="AR102" s="9">
        <v>0</v>
      </c>
      <c r="AS102" s="9">
        <v>1E-3</v>
      </c>
      <c r="AT102" s="9">
        <v>5</v>
      </c>
      <c r="AU102" s="9">
        <v>23</v>
      </c>
      <c r="AV102" s="9" t="b">
        <v>1</v>
      </c>
      <c r="AW102" s="19"/>
      <c r="AX102" s="9" t="s">
        <v>229</v>
      </c>
      <c r="AY102" s="9">
        <v>6</v>
      </c>
      <c r="AZ102" s="9">
        <v>3</v>
      </c>
      <c r="BA102" s="9">
        <v>3</v>
      </c>
      <c r="BB102" s="9">
        <v>0.5</v>
      </c>
      <c r="BC102" s="9">
        <v>0.5</v>
      </c>
      <c r="BD102" s="19"/>
      <c r="BE102" s="19"/>
      <c r="BF102" s="19"/>
      <c r="BG102" s="19"/>
      <c r="BH102" s="9" t="s">
        <v>230</v>
      </c>
      <c r="BI102" s="9">
        <v>122</v>
      </c>
      <c r="BJ102" s="9">
        <v>0</v>
      </c>
      <c r="BK102" s="9">
        <v>488</v>
      </c>
      <c r="BL102" s="9">
        <v>0</v>
      </c>
      <c r="BM102" s="19"/>
      <c r="BN102" s="19"/>
      <c r="BO102" s="19"/>
      <c r="BP102" s="19"/>
      <c r="BQ102" s="19"/>
      <c r="BR102" s="19"/>
      <c r="BS102" s="9" t="b">
        <v>1</v>
      </c>
      <c r="BT102" s="9">
        <v>0</v>
      </c>
      <c r="BU102" s="9">
        <v>0</v>
      </c>
      <c r="BV102" s="9">
        <v>0</v>
      </c>
      <c r="BW102" s="19"/>
      <c r="BX102" s="19"/>
      <c r="BY102" s="9">
        <v>7.6084136962890599E-3</v>
      </c>
      <c r="BZ102" s="9" t="s">
        <v>295</v>
      </c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9" t="s">
        <v>296</v>
      </c>
      <c r="CO102" s="9">
        <v>122</v>
      </c>
      <c r="CP102" s="9">
        <v>115</v>
      </c>
      <c r="CQ102" s="9">
        <v>4</v>
      </c>
      <c r="CR102" s="9">
        <v>3</v>
      </c>
      <c r="CS102" s="9">
        <v>0</v>
      </c>
      <c r="CT102" s="9">
        <v>488</v>
      </c>
      <c r="CU102" s="9">
        <v>480</v>
      </c>
      <c r="CV102" s="9">
        <v>5</v>
      </c>
      <c r="CW102" s="9">
        <v>3</v>
      </c>
      <c r="CX102" s="9">
        <v>0</v>
      </c>
    </row>
    <row r="103" spans="1:102" ht="16" customHeight="1" x14ac:dyDescent="0.2">
      <c r="A103" s="8" t="s">
        <v>35</v>
      </c>
      <c r="B103" s="9" t="s">
        <v>297</v>
      </c>
      <c r="C103" s="9" t="s">
        <v>227</v>
      </c>
      <c r="D103" s="9" t="s">
        <v>174</v>
      </c>
      <c r="E103" s="9" t="s">
        <v>228</v>
      </c>
      <c r="F103" s="9" t="s">
        <v>176</v>
      </c>
      <c r="G103" s="9">
        <v>0.5</v>
      </c>
      <c r="H103" s="9">
        <v>2</v>
      </c>
      <c r="I103" s="9" t="s">
        <v>177</v>
      </c>
      <c r="J103" s="9" t="s">
        <v>178</v>
      </c>
      <c r="K103" s="9" t="s">
        <v>179</v>
      </c>
      <c r="L103" s="9" t="s">
        <v>180</v>
      </c>
      <c r="M103" s="9">
        <v>122</v>
      </c>
      <c r="N103" s="9">
        <v>0.20901639344262299</v>
      </c>
      <c r="O103" s="9">
        <v>0.25</v>
      </c>
      <c r="P103" s="9">
        <v>0.22767857142857101</v>
      </c>
      <c r="Q103" s="9">
        <v>3.97</v>
      </c>
      <c r="R103" s="9">
        <v>15</v>
      </c>
      <c r="S103" s="9">
        <v>15</v>
      </c>
      <c r="T103" s="9">
        <v>61775</v>
      </c>
      <c r="U103" s="9">
        <v>30</v>
      </c>
      <c r="V103" s="9">
        <v>61805</v>
      </c>
      <c r="W103" s="9">
        <v>15</v>
      </c>
      <c r="X103" s="9">
        <v>61775</v>
      </c>
      <c r="Y103" s="9">
        <v>30</v>
      </c>
      <c r="Z103" s="9">
        <v>61805</v>
      </c>
      <c r="AA103" s="9">
        <v>610</v>
      </c>
      <c r="AB103" s="9">
        <v>610</v>
      </c>
      <c r="AC103" s="9">
        <v>0</v>
      </c>
      <c r="AD103" s="9">
        <v>0</v>
      </c>
      <c r="AE103" s="9">
        <v>1E-3</v>
      </c>
      <c r="AF103" s="9">
        <v>3.9689999999999999</v>
      </c>
      <c r="AG103" s="9">
        <v>2E-3</v>
      </c>
      <c r="AH103" s="9">
        <v>3.0000000000000001E-3</v>
      </c>
      <c r="AI103" s="9">
        <v>0.13100000000000001</v>
      </c>
      <c r="AJ103" s="9">
        <v>1E-3</v>
      </c>
      <c r="AK103" s="9">
        <v>5.0000000000000001E-3</v>
      </c>
      <c r="AL103" s="9">
        <v>0</v>
      </c>
      <c r="AM103" s="9">
        <v>4.0000000000000001E-3</v>
      </c>
      <c r="AN103" s="9">
        <v>3.7589999999999999</v>
      </c>
      <c r="AO103" s="9">
        <v>1.0999999999999999E-2</v>
      </c>
      <c r="AP103" s="9">
        <v>1E-3</v>
      </c>
      <c r="AQ103" s="9">
        <v>1E-3</v>
      </c>
      <c r="AR103" s="9">
        <v>0</v>
      </c>
      <c r="AS103" s="9">
        <v>1E-3</v>
      </c>
      <c r="AT103" s="9">
        <v>5</v>
      </c>
      <c r="AU103" s="9">
        <v>23</v>
      </c>
      <c r="AV103" s="9" t="b">
        <v>1</v>
      </c>
      <c r="AW103" s="19"/>
      <c r="AX103" s="9" t="s">
        <v>229</v>
      </c>
      <c r="AY103" s="9">
        <v>6</v>
      </c>
      <c r="AZ103" s="9">
        <v>3</v>
      </c>
      <c r="BA103" s="9">
        <v>3</v>
      </c>
      <c r="BB103" s="9">
        <v>0.5</v>
      </c>
      <c r="BC103" s="9">
        <v>0.5</v>
      </c>
      <c r="BD103" s="19"/>
      <c r="BE103" s="19"/>
      <c r="BF103" s="19"/>
      <c r="BG103" s="19"/>
      <c r="BH103" s="9" t="s">
        <v>230</v>
      </c>
      <c r="BI103" s="9">
        <v>122</v>
      </c>
      <c r="BJ103" s="9">
        <v>0</v>
      </c>
      <c r="BK103" s="9">
        <v>488</v>
      </c>
      <c r="BL103" s="9">
        <v>0</v>
      </c>
      <c r="BM103" s="19"/>
      <c r="BN103" s="19"/>
      <c r="BO103" s="19"/>
      <c r="BP103" s="19"/>
      <c r="BQ103" s="19"/>
      <c r="BR103" s="19"/>
      <c r="BS103" s="9" t="b">
        <v>1</v>
      </c>
      <c r="BT103" s="9">
        <v>0</v>
      </c>
      <c r="BU103" s="9">
        <v>0</v>
      </c>
      <c r="BV103" s="9">
        <v>0</v>
      </c>
      <c r="BW103" s="19"/>
      <c r="BX103" s="19"/>
      <c r="BY103" s="9">
        <v>6.4463615417480503E-3</v>
      </c>
      <c r="BZ103" s="9" t="s">
        <v>295</v>
      </c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9" t="s">
        <v>296</v>
      </c>
      <c r="CO103" s="9">
        <v>122</v>
      </c>
      <c r="CP103" s="9">
        <v>115</v>
      </c>
      <c r="CQ103" s="9">
        <v>4</v>
      </c>
      <c r="CR103" s="9">
        <v>3</v>
      </c>
      <c r="CS103" s="9">
        <v>0</v>
      </c>
      <c r="CT103" s="9">
        <v>488</v>
      </c>
      <c r="CU103" s="9">
        <v>480</v>
      </c>
      <c r="CV103" s="9">
        <v>5</v>
      </c>
      <c r="CW103" s="9">
        <v>3</v>
      </c>
      <c r="CX103" s="9">
        <v>0</v>
      </c>
    </row>
    <row r="104" spans="1:102" ht="16" customHeight="1" x14ac:dyDescent="0.2">
      <c r="A104" s="8" t="s">
        <v>35</v>
      </c>
      <c r="B104" s="9" t="s">
        <v>298</v>
      </c>
      <c r="C104" s="9" t="s">
        <v>227</v>
      </c>
      <c r="D104" s="9" t="s">
        <v>174</v>
      </c>
      <c r="E104" s="9" t="s">
        <v>228</v>
      </c>
      <c r="F104" s="9" t="s">
        <v>176</v>
      </c>
      <c r="G104" s="9">
        <v>0.5</v>
      </c>
      <c r="H104" s="9">
        <v>3</v>
      </c>
      <c r="I104" s="9" t="s">
        <v>177</v>
      </c>
      <c r="J104" s="9" t="s">
        <v>178</v>
      </c>
      <c r="K104" s="9" t="s">
        <v>179</v>
      </c>
      <c r="L104" s="9" t="s">
        <v>180</v>
      </c>
      <c r="M104" s="9">
        <v>122</v>
      </c>
      <c r="N104" s="9">
        <v>0.210743801652893</v>
      </c>
      <c r="O104" s="9">
        <v>0.25</v>
      </c>
      <c r="P104" s="9">
        <v>0.228699551569507</v>
      </c>
      <c r="Q104" s="9">
        <v>3.31</v>
      </c>
      <c r="R104" s="9">
        <v>18</v>
      </c>
      <c r="S104" s="9">
        <v>18</v>
      </c>
      <c r="T104" s="9">
        <v>45304</v>
      </c>
      <c r="U104" s="9">
        <v>36</v>
      </c>
      <c r="V104" s="9">
        <v>45340</v>
      </c>
      <c r="W104" s="9">
        <v>18</v>
      </c>
      <c r="X104" s="9">
        <v>45304</v>
      </c>
      <c r="Y104" s="9">
        <v>36</v>
      </c>
      <c r="Z104" s="9">
        <v>45340</v>
      </c>
      <c r="AA104" s="9">
        <v>610</v>
      </c>
      <c r="AB104" s="9">
        <v>610</v>
      </c>
      <c r="AC104" s="9">
        <v>0</v>
      </c>
      <c r="AD104" s="9">
        <v>0</v>
      </c>
      <c r="AE104" s="9">
        <v>1E-3</v>
      </c>
      <c r="AF104" s="9">
        <v>3.3090000000000002</v>
      </c>
      <c r="AG104" s="9">
        <v>2E-3</v>
      </c>
      <c r="AH104" s="9">
        <v>2E-3</v>
      </c>
      <c r="AI104" s="9">
        <v>0.13100000000000001</v>
      </c>
      <c r="AJ104" s="9">
        <v>1E-3</v>
      </c>
      <c r="AK104" s="9">
        <v>5.0000000000000001E-3</v>
      </c>
      <c r="AL104" s="9">
        <v>0</v>
      </c>
      <c r="AM104" s="9">
        <v>4.0000000000000001E-3</v>
      </c>
      <c r="AN104" s="9">
        <v>3.109</v>
      </c>
      <c r="AO104" s="9">
        <v>0.01</v>
      </c>
      <c r="AP104" s="9">
        <v>1E-3</v>
      </c>
      <c r="AQ104" s="9">
        <v>1E-3</v>
      </c>
      <c r="AR104" s="9">
        <v>0</v>
      </c>
      <c r="AS104" s="9">
        <v>1E-3</v>
      </c>
      <c r="AT104" s="9">
        <v>5</v>
      </c>
      <c r="AU104" s="9">
        <v>25</v>
      </c>
      <c r="AV104" s="9" t="b">
        <v>1</v>
      </c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9" t="s">
        <v>230</v>
      </c>
      <c r="BI104" s="9">
        <v>122</v>
      </c>
      <c r="BJ104" s="9">
        <v>0</v>
      </c>
      <c r="BK104" s="9">
        <v>488</v>
      </c>
      <c r="BL104" s="9">
        <v>0</v>
      </c>
      <c r="BM104" s="19"/>
      <c r="BN104" s="19"/>
      <c r="BO104" s="19"/>
      <c r="BP104" s="19"/>
      <c r="BQ104" s="19"/>
      <c r="BR104" s="19"/>
      <c r="BS104" s="9" t="b">
        <v>1</v>
      </c>
      <c r="BT104" s="9">
        <v>0</v>
      </c>
      <c r="BU104" s="9">
        <v>0</v>
      </c>
      <c r="BV104" s="9">
        <v>0</v>
      </c>
      <c r="BW104" s="19"/>
      <c r="BX104" s="19"/>
      <c r="BY104" s="24">
        <v>5.3644180297851603E-5</v>
      </c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</row>
    <row r="105" spans="1:102" ht="16" customHeight="1" x14ac:dyDescent="0.2">
      <c r="A105" s="8" t="s">
        <v>35</v>
      </c>
      <c r="B105" s="9" t="s">
        <v>299</v>
      </c>
      <c r="C105" s="9" t="s">
        <v>227</v>
      </c>
      <c r="D105" s="9" t="s">
        <v>174</v>
      </c>
      <c r="E105" s="9" t="s">
        <v>228</v>
      </c>
      <c r="F105" s="9" t="s">
        <v>176</v>
      </c>
      <c r="G105" s="9">
        <v>0.5</v>
      </c>
      <c r="H105" s="9">
        <v>4</v>
      </c>
      <c r="I105" s="9" t="s">
        <v>177</v>
      </c>
      <c r="J105" s="9" t="s">
        <v>178</v>
      </c>
      <c r="K105" s="9" t="s">
        <v>179</v>
      </c>
      <c r="L105" s="9" t="s">
        <v>180</v>
      </c>
      <c r="M105" s="9">
        <v>124</v>
      </c>
      <c r="N105" s="9">
        <v>0.33750000000000002</v>
      </c>
      <c r="O105" s="9">
        <v>0.27083333333333298</v>
      </c>
      <c r="P105" s="9">
        <v>0.26544401544401502</v>
      </c>
      <c r="Q105" s="9">
        <v>3.52</v>
      </c>
      <c r="R105" s="9">
        <v>24</v>
      </c>
      <c r="S105" s="9">
        <v>24</v>
      </c>
      <c r="T105" s="9">
        <v>63086</v>
      </c>
      <c r="U105" s="9">
        <v>48</v>
      </c>
      <c r="V105" s="9">
        <v>63134</v>
      </c>
      <c r="W105" s="9">
        <v>24</v>
      </c>
      <c r="X105" s="9">
        <v>63086</v>
      </c>
      <c r="Y105" s="9">
        <v>48</v>
      </c>
      <c r="Z105" s="9">
        <v>63134</v>
      </c>
      <c r="AA105" s="9">
        <v>610</v>
      </c>
      <c r="AB105" s="9">
        <v>610</v>
      </c>
      <c r="AC105" s="9">
        <v>0</v>
      </c>
      <c r="AD105" s="9">
        <v>0</v>
      </c>
      <c r="AE105" s="9">
        <v>1E-3</v>
      </c>
      <c r="AF105" s="9">
        <v>3.5150000000000001</v>
      </c>
      <c r="AG105" s="9">
        <v>3.0000000000000001E-3</v>
      </c>
      <c r="AH105" s="9">
        <v>3.0000000000000001E-3</v>
      </c>
      <c r="AI105" s="9">
        <v>0.124</v>
      </c>
      <c r="AJ105" s="9">
        <v>1E-3</v>
      </c>
      <c r="AK105" s="9">
        <v>5.0000000000000001E-3</v>
      </c>
      <c r="AL105" s="9">
        <v>0</v>
      </c>
      <c r="AM105" s="9">
        <v>7.0000000000000001E-3</v>
      </c>
      <c r="AN105" s="9">
        <v>3.3159999999999998</v>
      </c>
      <c r="AO105" s="9">
        <v>0.01</v>
      </c>
      <c r="AP105" s="9">
        <v>1E-3</v>
      </c>
      <c r="AQ105" s="9">
        <v>1E-3</v>
      </c>
      <c r="AR105" s="9">
        <v>1E-3</v>
      </c>
      <c r="AS105" s="9">
        <v>1E-3</v>
      </c>
      <c r="AT105" s="9">
        <v>16</v>
      </c>
      <c r="AU105" s="9">
        <v>24</v>
      </c>
      <c r="AV105" s="9" t="b">
        <v>1</v>
      </c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9" t="s">
        <v>230</v>
      </c>
      <c r="BI105" s="9">
        <v>124</v>
      </c>
      <c r="BJ105" s="9">
        <v>0</v>
      </c>
      <c r="BK105" s="9">
        <v>486</v>
      </c>
      <c r="BL105" s="9">
        <v>0</v>
      </c>
      <c r="BM105" s="19"/>
      <c r="BN105" s="19"/>
      <c r="BO105" s="19"/>
      <c r="BP105" s="19"/>
      <c r="BQ105" s="19"/>
      <c r="BR105" s="19"/>
      <c r="BS105" s="9" t="b">
        <v>1</v>
      </c>
      <c r="BT105" s="9">
        <v>0</v>
      </c>
      <c r="BU105" s="9">
        <v>0</v>
      </c>
      <c r="BV105" s="9">
        <v>0</v>
      </c>
      <c r="BW105" s="19"/>
      <c r="BX105" s="19"/>
      <c r="BY105" s="24">
        <v>6.2704086303710897E-5</v>
      </c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</row>
    <row r="106" spans="1:102" ht="16" customHeight="1" x14ac:dyDescent="0.2">
      <c r="A106" s="8" t="s">
        <v>35</v>
      </c>
      <c r="B106" s="9" t="s">
        <v>300</v>
      </c>
      <c r="C106" s="9" t="s">
        <v>227</v>
      </c>
      <c r="D106" s="9" t="s">
        <v>174</v>
      </c>
      <c r="E106" s="9" t="s">
        <v>228</v>
      </c>
      <c r="F106" s="9" t="s">
        <v>176</v>
      </c>
      <c r="G106" s="9">
        <v>0.5</v>
      </c>
      <c r="H106" s="9">
        <v>5</v>
      </c>
      <c r="I106" s="9" t="s">
        <v>177</v>
      </c>
      <c r="J106" s="9" t="s">
        <v>178</v>
      </c>
      <c r="K106" s="9" t="s">
        <v>179</v>
      </c>
      <c r="L106" s="9" t="s">
        <v>180</v>
      </c>
      <c r="M106" s="9">
        <v>124</v>
      </c>
      <c r="N106" s="9">
        <v>0.46250000000000002</v>
      </c>
      <c r="O106" s="9">
        <v>0.29166666666666702</v>
      </c>
      <c r="P106" s="9">
        <v>0.301158301158301</v>
      </c>
      <c r="Q106" s="9">
        <v>5.38</v>
      </c>
      <c r="R106" s="9">
        <v>30</v>
      </c>
      <c r="S106" s="9">
        <v>30</v>
      </c>
      <c r="T106" s="9">
        <v>94216</v>
      </c>
      <c r="U106" s="9">
        <v>60</v>
      </c>
      <c r="V106" s="9">
        <v>94276</v>
      </c>
      <c r="W106" s="9">
        <v>30</v>
      </c>
      <c r="X106" s="9">
        <v>94216</v>
      </c>
      <c r="Y106" s="9">
        <v>60</v>
      </c>
      <c r="Z106" s="9">
        <v>94276</v>
      </c>
      <c r="AA106" s="9">
        <v>610</v>
      </c>
      <c r="AB106" s="9">
        <v>610</v>
      </c>
      <c r="AC106" s="9">
        <v>0</v>
      </c>
      <c r="AD106" s="9">
        <v>0</v>
      </c>
      <c r="AE106" s="9">
        <v>1E-3</v>
      </c>
      <c r="AF106" s="9">
        <v>5.3730000000000002</v>
      </c>
      <c r="AG106" s="9">
        <v>2E-3</v>
      </c>
      <c r="AH106" s="9">
        <v>3.0000000000000001E-3</v>
      </c>
      <c r="AI106" s="9">
        <v>0.121</v>
      </c>
      <c r="AJ106" s="9">
        <v>0</v>
      </c>
      <c r="AK106" s="9">
        <v>5.0000000000000001E-3</v>
      </c>
      <c r="AL106" s="9">
        <v>0</v>
      </c>
      <c r="AM106" s="9">
        <v>7.0000000000000001E-3</v>
      </c>
      <c r="AN106" s="9">
        <v>5.1710000000000003</v>
      </c>
      <c r="AO106" s="9">
        <v>1.0999999999999999E-2</v>
      </c>
      <c r="AP106" s="9">
        <v>1E-3</v>
      </c>
      <c r="AQ106" s="9">
        <v>1E-3</v>
      </c>
      <c r="AR106" s="9">
        <v>1E-3</v>
      </c>
      <c r="AS106" s="9">
        <v>1E-3</v>
      </c>
      <c r="AT106" s="9">
        <v>18</v>
      </c>
      <c r="AU106" s="9">
        <v>24</v>
      </c>
      <c r="AV106" s="9" t="b">
        <v>1</v>
      </c>
      <c r="AW106" s="19"/>
      <c r="AX106" s="9" t="s">
        <v>229</v>
      </c>
      <c r="AY106" s="9">
        <v>12</v>
      </c>
      <c r="AZ106" s="9">
        <v>2</v>
      </c>
      <c r="BA106" s="9">
        <v>10</v>
      </c>
      <c r="BB106" s="9">
        <v>0.5</v>
      </c>
      <c r="BC106" s="9">
        <v>0.5</v>
      </c>
      <c r="BD106" s="19"/>
      <c r="BE106" s="19"/>
      <c r="BF106" s="19"/>
      <c r="BG106" s="19"/>
      <c r="BH106" s="9" t="s">
        <v>230</v>
      </c>
      <c r="BI106" s="9">
        <v>124</v>
      </c>
      <c r="BJ106" s="9">
        <v>0</v>
      </c>
      <c r="BK106" s="9">
        <v>486</v>
      </c>
      <c r="BL106" s="9">
        <v>0</v>
      </c>
      <c r="BM106" s="19"/>
      <c r="BN106" s="19"/>
      <c r="BO106" s="19"/>
      <c r="BP106" s="19"/>
      <c r="BQ106" s="19"/>
      <c r="BR106" s="19"/>
      <c r="BS106" s="9" t="b">
        <v>1</v>
      </c>
      <c r="BT106" s="9">
        <v>0</v>
      </c>
      <c r="BU106" s="9">
        <v>0</v>
      </c>
      <c r="BV106" s="9">
        <v>0</v>
      </c>
      <c r="BW106" s="19"/>
      <c r="BX106" s="19"/>
      <c r="BY106" s="9">
        <v>6.4852237701415998E-3</v>
      </c>
      <c r="BZ106" s="9" t="s">
        <v>295</v>
      </c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9" t="s">
        <v>301</v>
      </c>
      <c r="CO106" s="9">
        <v>124</v>
      </c>
      <c r="CP106" s="9">
        <v>118</v>
      </c>
      <c r="CQ106" s="9">
        <v>4</v>
      </c>
      <c r="CR106" s="9">
        <v>2</v>
      </c>
      <c r="CS106" s="9">
        <v>0</v>
      </c>
      <c r="CT106" s="9">
        <v>486</v>
      </c>
      <c r="CU106" s="9">
        <v>462</v>
      </c>
      <c r="CV106" s="9">
        <v>14</v>
      </c>
      <c r="CW106" s="9">
        <v>10</v>
      </c>
      <c r="CX106" s="9">
        <v>0</v>
      </c>
    </row>
    <row r="107" spans="1:102" ht="16" customHeight="1" x14ac:dyDescent="0.2">
      <c r="A107" s="8" t="s">
        <v>35</v>
      </c>
      <c r="B107" s="9" t="s">
        <v>302</v>
      </c>
      <c r="C107" s="9" t="s">
        <v>227</v>
      </c>
      <c r="D107" s="9" t="s">
        <v>174</v>
      </c>
      <c r="E107" s="9" t="s">
        <v>228</v>
      </c>
      <c r="F107" s="9" t="s">
        <v>176</v>
      </c>
      <c r="G107" s="9">
        <v>0.5</v>
      </c>
      <c r="H107" s="9">
        <v>6</v>
      </c>
      <c r="I107" s="9" t="s">
        <v>177</v>
      </c>
      <c r="J107" s="9" t="s">
        <v>178</v>
      </c>
      <c r="K107" s="9" t="s">
        <v>179</v>
      </c>
      <c r="L107" s="9" t="s">
        <v>180</v>
      </c>
      <c r="M107" s="9">
        <v>123</v>
      </c>
      <c r="N107" s="9">
        <v>0.46074380165289303</v>
      </c>
      <c r="O107" s="9">
        <v>0.27083333333333298</v>
      </c>
      <c r="P107" s="9">
        <v>0.26716109003104499</v>
      </c>
      <c r="Q107" s="9">
        <v>6.98</v>
      </c>
      <c r="R107" s="9">
        <v>36</v>
      </c>
      <c r="S107" s="9">
        <v>36</v>
      </c>
      <c r="T107" s="9">
        <v>128022</v>
      </c>
      <c r="U107" s="9">
        <v>72</v>
      </c>
      <c r="V107" s="9">
        <v>128094</v>
      </c>
      <c r="W107" s="9">
        <v>36</v>
      </c>
      <c r="X107" s="9">
        <v>128022</v>
      </c>
      <c r="Y107" s="9">
        <v>72</v>
      </c>
      <c r="Z107" s="9">
        <v>128094</v>
      </c>
      <c r="AA107" s="9">
        <v>610</v>
      </c>
      <c r="AB107" s="9">
        <v>610</v>
      </c>
      <c r="AC107" s="9">
        <v>0</v>
      </c>
      <c r="AD107" s="9">
        <v>0</v>
      </c>
      <c r="AE107" s="9">
        <v>1E-3</v>
      </c>
      <c r="AF107" s="9">
        <v>6.97</v>
      </c>
      <c r="AG107" s="9">
        <v>2E-3</v>
      </c>
      <c r="AH107" s="9">
        <v>3.0000000000000001E-3</v>
      </c>
      <c r="AI107" s="9">
        <v>0.126</v>
      </c>
      <c r="AJ107" s="9">
        <v>0</v>
      </c>
      <c r="AK107" s="9">
        <v>5.0000000000000001E-3</v>
      </c>
      <c r="AL107" s="9">
        <v>0</v>
      </c>
      <c r="AM107" s="9">
        <v>0.01</v>
      </c>
      <c r="AN107" s="9">
        <v>6.75</v>
      </c>
      <c r="AO107" s="9">
        <v>1.2E-2</v>
      </c>
      <c r="AP107" s="9">
        <v>1E-3</v>
      </c>
      <c r="AQ107" s="9">
        <v>1E-3</v>
      </c>
      <c r="AR107" s="9">
        <v>1E-3</v>
      </c>
      <c r="AS107" s="9">
        <v>1E-3</v>
      </c>
      <c r="AT107" s="9">
        <v>18</v>
      </c>
      <c r="AU107" s="9">
        <v>23</v>
      </c>
      <c r="AV107" s="9" t="b">
        <v>1</v>
      </c>
      <c r="AW107" s="19"/>
      <c r="AX107" s="9" t="s">
        <v>229</v>
      </c>
      <c r="AY107" s="9">
        <v>13</v>
      </c>
      <c r="AZ107" s="9">
        <v>3</v>
      </c>
      <c r="BA107" s="9">
        <v>10</v>
      </c>
      <c r="BB107" s="9">
        <v>0.5</v>
      </c>
      <c r="BC107" s="9">
        <v>0.5</v>
      </c>
      <c r="BD107" s="19"/>
      <c r="BE107" s="19"/>
      <c r="BF107" s="19"/>
      <c r="BG107" s="19"/>
      <c r="BH107" s="9" t="s">
        <v>230</v>
      </c>
      <c r="BI107" s="9">
        <v>123</v>
      </c>
      <c r="BJ107" s="9">
        <v>0</v>
      </c>
      <c r="BK107" s="9">
        <v>487</v>
      </c>
      <c r="BL107" s="9">
        <v>0</v>
      </c>
      <c r="BM107" s="19"/>
      <c r="BN107" s="19"/>
      <c r="BO107" s="19"/>
      <c r="BP107" s="19"/>
      <c r="BQ107" s="19"/>
      <c r="BR107" s="19"/>
      <c r="BS107" s="9" t="b">
        <v>1</v>
      </c>
      <c r="BT107" s="9">
        <v>0</v>
      </c>
      <c r="BU107" s="9">
        <v>0</v>
      </c>
      <c r="BV107" s="9">
        <v>0</v>
      </c>
      <c r="BW107" s="19"/>
      <c r="BX107" s="19"/>
      <c r="BY107" s="9">
        <v>6.4311027526855503E-3</v>
      </c>
      <c r="BZ107" s="9" t="s">
        <v>295</v>
      </c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9" t="s">
        <v>303</v>
      </c>
      <c r="CO107" s="9">
        <v>123</v>
      </c>
      <c r="CP107" s="9">
        <v>112</v>
      </c>
      <c r="CQ107" s="9">
        <v>8</v>
      </c>
      <c r="CR107" s="9">
        <v>3</v>
      </c>
      <c r="CS107" s="9">
        <v>0</v>
      </c>
      <c r="CT107" s="9">
        <v>487</v>
      </c>
      <c r="CU107" s="9">
        <v>462</v>
      </c>
      <c r="CV107" s="9">
        <v>15</v>
      </c>
      <c r="CW107" s="9">
        <v>10</v>
      </c>
      <c r="CX107" s="9">
        <v>0</v>
      </c>
    </row>
    <row r="108" spans="1:102" ht="16" customHeight="1" x14ac:dyDescent="0.2">
      <c r="A108" s="8" t="s">
        <v>35</v>
      </c>
      <c r="B108" s="9" t="s">
        <v>304</v>
      </c>
      <c r="C108" s="9" t="s">
        <v>227</v>
      </c>
      <c r="D108" s="9" t="s">
        <v>174</v>
      </c>
      <c r="E108" s="9" t="s">
        <v>228</v>
      </c>
      <c r="F108" s="9" t="s">
        <v>176</v>
      </c>
      <c r="G108" s="9">
        <v>0.5</v>
      </c>
      <c r="H108" s="9">
        <v>7</v>
      </c>
      <c r="I108" s="9" t="s">
        <v>177</v>
      </c>
      <c r="J108" s="9" t="s">
        <v>178</v>
      </c>
      <c r="K108" s="9" t="s">
        <v>179</v>
      </c>
      <c r="L108" s="9" t="s">
        <v>180</v>
      </c>
      <c r="M108" s="9">
        <v>125</v>
      </c>
      <c r="N108" s="9">
        <v>0.37885154061624698</v>
      </c>
      <c r="O108" s="9">
        <v>0.28921568627451</v>
      </c>
      <c r="P108" s="9">
        <v>0.29517345399698303</v>
      </c>
      <c r="Q108" s="9">
        <v>8.84</v>
      </c>
      <c r="R108" s="9">
        <v>42</v>
      </c>
      <c r="S108" s="9">
        <v>42</v>
      </c>
      <c r="T108" s="9">
        <v>159158</v>
      </c>
      <c r="U108" s="9">
        <v>84</v>
      </c>
      <c r="V108" s="9">
        <v>159242</v>
      </c>
      <c r="W108" s="9">
        <v>42</v>
      </c>
      <c r="X108" s="9">
        <v>159158</v>
      </c>
      <c r="Y108" s="9">
        <v>84</v>
      </c>
      <c r="Z108" s="9">
        <v>159242</v>
      </c>
      <c r="AA108" s="9">
        <v>610</v>
      </c>
      <c r="AB108" s="9">
        <v>610</v>
      </c>
      <c r="AC108" s="9">
        <v>0</v>
      </c>
      <c r="AD108" s="9">
        <v>0</v>
      </c>
      <c r="AE108" s="9">
        <v>1E-3</v>
      </c>
      <c r="AF108" s="9">
        <v>8.83</v>
      </c>
      <c r="AG108" s="9">
        <v>2E-3</v>
      </c>
      <c r="AH108" s="9">
        <v>3.0000000000000001E-3</v>
      </c>
      <c r="AI108" s="9">
        <v>0.13800000000000001</v>
      </c>
      <c r="AJ108" s="9">
        <v>0</v>
      </c>
      <c r="AK108" s="9">
        <v>5.0000000000000001E-3</v>
      </c>
      <c r="AL108" s="9">
        <v>0</v>
      </c>
      <c r="AM108" s="9">
        <v>1.2E-2</v>
      </c>
      <c r="AN108" s="9">
        <v>8.6150000000000002</v>
      </c>
      <c r="AO108" s="9">
        <v>8.9999999999999993E-3</v>
      </c>
      <c r="AP108" s="9">
        <v>1E-3</v>
      </c>
      <c r="AQ108" s="9">
        <v>1E-3</v>
      </c>
      <c r="AR108" s="9">
        <v>1E-3</v>
      </c>
      <c r="AS108" s="9">
        <v>1E-3</v>
      </c>
      <c r="AT108" s="9">
        <v>20</v>
      </c>
      <c r="AU108" s="9">
        <v>23</v>
      </c>
      <c r="AV108" s="9" t="b">
        <v>1</v>
      </c>
      <c r="AW108" s="19"/>
      <c r="AX108" s="9" t="s">
        <v>229</v>
      </c>
      <c r="AY108" s="9">
        <v>17</v>
      </c>
      <c r="AZ108" s="9">
        <v>5</v>
      </c>
      <c r="BA108" s="9">
        <v>12</v>
      </c>
      <c r="BB108" s="9">
        <v>0.5</v>
      </c>
      <c r="BC108" s="9">
        <v>0.5</v>
      </c>
      <c r="BD108" s="19"/>
      <c r="BE108" s="19"/>
      <c r="BF108" s="19"/>
      <c r="BG108" s="19"/>
      <c r="BH108" s="9" t="s">
        <v>230</v>
      </c>
      <c r="BI108" s="9">
        <v>125</v>
      </c>
      <c r="BJ108" s="9">
        <v>0</v>
      </c>
      <c r="BK108" s="9">
        <v>485</v>
      </c>
      <c r="BL108" s="9">
        <v>0</v>
      </c>
      <c r="BM108" s="19"/>
      <c r="BN108" s="19"/>
      <c r="BO108" s="19"/>
      <c r="BP108" s="19"/>
      <c r="BQ108" s="19"/>
      <c r="BR108" s="19"/>
      <c r="BS108" s="9" t="b">
        <v>1</v>
      </c>
      <c r="BT108" s="9">
        <v>0</v>
      </c>
      <c r="BU108" s="9">
        <v>0</v>
      </c>
      <c r="BV108" s="9">
        <v>0</v>
      </c>
      <c r="BW108" s="19"/>
      <c r="BX108" s="19"/>
      <c r="BY108" s="9">
        <v>4.3184757232665998E-3</v>
      </c>
      <c r="BZ108" s="9" t="s">
        <v>295</v>
      </c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9" t="s">
        <v>305</v>
      </c>
      <c r="CO108" s="9">
        <v>125</v>
      </c>
      <c r="CP108" s="9">
        <v>113</v>
      </c>
      <c r="CQ108" s="9">
        <v>7</v>
      </c>
      <c r="CR108" s="9">
        <v>5</v>
      </c>
      <c r="CS108" s="9">
        <v>0</v>
      </c>
      <c r="CT108" s="9">
        <v>485</v>
      </c>
      <c r="CU108" s="9">
        <v>455</v>
      </c>
      <c r="CV108" s="9">
        <v>18</v>
      </c>
      <c r="CW108" s="9">
        <v>12</v>
      </c>
      <c r="CX108" s="9">
        <v>0</v>
      </c>
    </row>
    <row r="109" spans="1:102" ht="16" customHeight="1" x14ac:dyDescent="0.2">
      <c r="A109" s="8" t="s">
        <v>35</v>
      </c>
      <c r="B109" s="9" t="s">
        <v>306</v>
      </c>
      <c r="C109" s="9" t="s">
        <v>227</v>
      </c>
      <c r="D109" s="9" t="s">
        <v>174</v>
      </c>
      <c r="E109" s="9" t="s">
        <v>228</v>
      </c>
      <c r="F109" s="9" t="s">
        <v>176</v>
      </c>
      <c r="G109" s="9">
        <v>0.5</v>
      </c>
      <c r="H109" s="9">
        <v>8</v>
      </c>
      <c r="I109" s="9" t="s">
        <v>177</v>
      </c>
      <c r="J109" s="9" t="s">
        <v>178</v>
      </c>
      <c r="K109" s="9" t="s">
        <v>179</v>
      </c>
      <c r="L109" s="9" t="s">
        <v>180</v>
      </c>
      <c r="M109" s="9">
        <v>125</v>
      </c>
      <c r="N109" s="9">
        <v>0.46218487394958002</v>
      </c>
      <c r="O109" s="9">
        <v>0.28921568627451</v>
      </c>
      <c r="P109" s="9">
        <v>0.29993535875888799</v>
      </c>
      <c r="Q109" s="9">
        <v>8.16</v>
      </c>
      <c r="R109" s="9">
        <v>48</v>
      </c>
      <c r="S109" s="9">
        <v>48</v>
      </c>
      <c r="T109" s="9">
        <v>174272</v>
      </c>
      <c r="U109" s="9">
        <v>96</v>
      </c>
      <c r="V109" s="9">
        <v>174368</v>
      </c>
      <c r="W109" s="9">
        <v>48</v>
      </c>
      <c r="X109" s="9">
        <v>174272</v>
      </c>
      <c r="Y109" s="9">
        <v>96</v>
      </c>
      <c r="Z109" s="9">
        <v>174368</v>
      </c>
      <c r="AA109" s="9">
        <v>610</v>
      </c>
      <c r="AB109" s="9">
        <v>610</v>
      </c>
      <c r="AC109" s="9">
        <v>0</v>
      </c>
      <c r="AD109" s="9">
        <v>0</v>
      </c>
      <c r="AE109" s="9">
        <v>1E-3</v>
      </c>
      <c r="AF109" s="9">
        <v>8.1560000000000006</v>
      </c>
      <c r="AG109" s="9">
        <v>2E-3</v>
      </c>
      <c r="AH109" s="9">
        <v>3.0000000000000001E-3</v>
      </c>
      <c r="AI109" s="9">
        <v>0.11700000000000001</v>
      </c>
      <c r="AJ109" s="9">
        <v>0</v>
      </c>
      <c r="AK109" s="9">
        <v>5.0000000000000001E-3</v>
      </c>
      <c r="AL109" s="9">
        <v>0</v>
      </c>
      <c r="AM109" s="9">
        <v>1.4999999999999999E-2</v>
      </c>
      <c r="AN109" s="9">
        <v>7.9580000000000002</v>
      </c>
      <c r="AO109" s="9">
        <v>8.9999999999999993E-3</v>
      </c>
      <c r="AP109" s="9">
        <v>1E-3</v>
      </c>
      <c r="AQ109" s="9">
        <v>1E-3</v>
      </c>
      <c r="AR109" s="9">
        <v>0</v>
      </c>
      <c r="AS109" s="9">
        <v>1E-3</v>
      </c>
      <c r="AT109" s="9">
        <v>20</v>
      </c>
      <c r="AU109" s="9">
        <v>23</v>
      </c>
      <c r="AV109" s="9" t="b">
        <v>1</v>
      </c>
      <c r="AW109" s="19"/>
      <c r="AX109" s="9" t="s">
        <v>229</v>
      </c>
      <c r="AY109" s="9">
        <v>19</v>
      </c>
      <c r="AZ109" s="9">
        <v>4</v>
      </c>
      <c r="BA109" s="9">
        <v>15</v>
      </c>
      <c r="BB109" s="9">
        <v>0.5</v>
      </c>
      <c r="BC109" s="9">
        <v>0.5</v>
      </c>
      <c r="BD109" s="19"/>
      <c r="BE109" s="19"/>
      <c r="BF109" s="19"/>
      <c r="BG109" s="19"/>
      <c r="BH109" s="9" t="s">
        <v>230</v>
      </c>
      <c r="BI109" s="9">
        <v>125</v>
      </c>
      <c r="BJ109" s="9">
        <v>0</v>
      </c>
      <c r="BK109" s="9">
        <v>485</v>
      </c>
      <c r="BL109" s="9">
        <v>0</v>
      </c>
      <c r="BM109" s="19"/>
      <c r="BN109" s="19"/>
      <c r="BO109" s="19"/>
      <c r="BP109" s="19"/>
      <c r="BQ109" s="19"/>
      <c r="BR109" s="19"/>
      <c r="BS109" s="9" t="b">
        <v>1</v>
      </c>
      <c r="BT109" s="9">
        <v>0</v>
      </c>
      <c r="BU109" s="9">
        <v>0</v>
      </c>
      <c r="BV109" s="9">
        <v>0</v>
      </c>
      <c r="BW109" s="19"/>
      <c r="BX109" s="19"/>
      <c r="BY109" s="9">
        <v>4.3325424194335903E-3</v>
      </c>
      <c r="BZ109" s="9" t="s">
        <v>295</v>
      </c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9" t="s">
        <v>307</v>
      </c>
      <c r="CO109" s="9">
        <v>125</v>
      </c>
      <c r="CP109" s="9">
        <v>113</v>
      </c>
      <c r="CQ109" s="9">
        <v>8</v>
      </c>
      <c r="CR109" s="9">
        <v>4</v>
      </c>
      <c r="CS109" s="9">
        <v>0</v>
      </c>
      <c r="CT109" s="9">
        <v>485</v>
      </c>
      <c r="CU109" s="9">
        <v>449</v>
      </c>
      <c r="CV109" s="9">
        <v>21</v>
      </c>
      <c r="CW109" s="9">
        <v>15</v>
      </c>
      <c r="CX109" s="9">
        <v>0</v>
      </c>
    </row>
    <row r="110" spans="1:102" ht="16" customHeight="1" x14ac:dyDescent="0.2">
      <c r="A110" s="8" t="s">
        <v>35</v>
      </c>
      <c r="B110" s="9" t="s">
        <v>308</v>
      </c>
      <c r="C110" s="9" t="s">
        <v>227</v>
      </c>
      <c r="D110" s="9" t="s">
        <v>174</v>
      </c>
      <c r="E110" s="9" t="s">
        <v>228</v>
      </c>
      <c r="F110" s="9" t="s">
        <v>176</v>
      </c>
      <c r="G110" s="9">
        <v>0.5</v>
      </c>
      <c r="H110" s="9">
        <v>9</v>
      </c>
      <c r="I110" s="9" t="s">
        <v>177</v>
      </c>
      <c r="J110" s="9" t="s">
        <v>178</v>
      </c>
      <c r="K110" s="9" t="s">
        <v>179</v>
      </c>
      <c r="L110" s="9" t="s">
        <v>180</v>
      </c>
      <c r="M110" s="9">
        <v>128</v>
      </c>
      <c r="N110" s="9">
        <v>0.46250000000000002</v>
      </c>
      <c r="O110" s="9">
        <v>0.29166666666666702</v>
      </c>
      <c r="P110" s="9">
        <v>0.301158301158301</v>
      </c>
      <c r="Q110" s="9">
        <v>9.24</v>
      </c>
      <c r="R110" s="9">
        <v>54</v>
      </c>
      <c r="S110" s="9">
        <v>54</v>
      </c>
      <c r="T110" s="9">
        <v>186678</v>
      </c>
      <c r="U110" s="9">
        <v>108</v>
      </c>
      <c r="V110" s="9">
        <v>186786</v>
      </c>
      <c r="W110" s="9">
        <v>54</v>
      </c>
      <c r="X110" s="9">
        <v>186678</v>
      </c>
      <c r="Y110" s="9">
        <v>108</v>
      </c>
      <c r="Z110" s="9">
        <v>186786</v>
      </c>
      <c r="AA110" s="9">
        <v>610</v>
      </c>
      <c r="AB110" s="9">
        <v>610</v>
      </c>
      <c r="AC110" s="9">
        <v>0</v>
      </c>
      <c r="AD110" s="9">
        <v>0</v>
      </c>
      <c r="AE110" s="9">
        <v>1E-3</v>
      </c>
      <c r="AF110" s="9">
        <v>9.234</v>
      </c>
      <c r="AG110" s="9">
        <v>2E-3</v>
      </c>
      <c r="AH110" s="9">
        <v>3.0000000000000001E-3</v>
      </c>
      <c r="AI110" s="9">
        <v>0.13300000000000001</v>
      </c>
      <c r="AJ110" s="9">
        <v>0</v>
      </c>
      <c r="AK110" s="9">
        <v>5.0000000000000001E-3</v>
      </c>
      <c r="AL110" s="9">
        <v>0</v>
      </c>
      <c r="AM110" s="9">
        <v>1.2999999999999999E-2</v>
      </c>
      <c r="AN110" s="9">
        <v>9.0239999999999991</v>
      </c>
      <c r="AO110" s="9">
        <v>8.9999999999999993E-3</v>
      </c>
      <c r="AP110" s="9">
        <v>1E-3</v>
      </c>
      <c r="AQ110" s="9">
        <v>1E-3</v>
      </c>
      <c r="AR110" s="9">
        <v>0</v>
      </c>
      <c r="AS110" s="9">
        <v>1E-3</v>
      </c>
      <c r="AT110" s="9">
        <v>17</v>
      </c>
      <c r="AU110" s="9">
        <v>23</v>
      </c>
      <c r="AV110" s="9" t="b">
        <v>1</v>
      </c>
      <c r="AW110" s="19"/>
      <c r="AX110" s="9" t="s">
        <v>229</v>
      </c>
      <c r="AY110" s="9">
        <v>22</v>
      </c>
      <c r="AZ110" s="9">
        <v>8</v>
      </c>
      <c r="BA110" s="9">
        <v>14</v>
      </c>
      <c r="BB110" s="9">
        <v>0.5</v>
      </c>
      <c r="BC110" s="9">
        <v>0.5</v>
      </c>
      <c r="BD110" s="19"/>
      <c r="BE110" s="19"/>
      <c r="BF110" s="19"/>
      <c r="BG110" s="19"/>
      <c r="BH110" s="9" t="s">
        <v>230</v>
      </c>
      <c r="BI110" s="9">
        <v>128</v>
      </c>
      <c r="BJ110" s="9">
        <v>0</v>
      </c>
      <c r="BK110" s="9">
        <v>482</v>
      </c>
      <c r="BL110" s="9">
        <v>0</v>
      </c>
      <c r="BM110" s="19"/>
      <c r="BN110" s="19"/>
      <c r="BO110" s="19"/>
      <c r="BP110" s="19"/>
      <c r="BQ110" s="19"/>
      <c r="BR110" s="19"/>
      <c r="BS110" s="9" t="b">
        <v>1</v>
      </c>
      <c r="BT110" s="9">
        <v>0</v>
      </c>
      <c r="BU110" s="9">
        <v>0</v>
      </c>
      <c r="BV110" s="9">
        <v>0</v>
      </c>
      <c r="BW110" s="19"/>
      <c r="BX110" s="19"/>
      <c r="BY110" s="9">
        <v>4.3213367462158203E-3</v>
      </c>
      <c r="BZ110" s="9" t="s">
        <v>295</v>
      </c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9" t="s">
        <v>309</v>
      </c>
      <c r="CO110" s="9">
        <v>128</v>
      </c>
      <c r="CP110" s="9">
        <v>109</v>
      </c>
      <c r="CQ110" s="9">
        <v>11</v>
      </c>
      <c r="CR110" s="9">
        <v>8</v>
      </c>
      <c r="CS110" s="9">
        <v>0</v>
      </c>
      <c r="CT110" s="9">
        <v>482</v>
      </c>
      <c r="CU110" s="9">
        <v>447</v>
      </c>
      <c r="CV110" s="9">
        <v>21</v>
      </c>
      <c r="CW110" s="9">
        <v>14</v>
      </c>
      <c r="CX110" s="9">
        <v>0</v>
      </c>
    </row>
    <row r="111" spans="1:102" s="28" customFormat="1" ht="16" customHeight="1" x14ac:dyDescent="0.2">
      <c r="A111" s="25" t="s">
        <v>35</v>
      </c>
      <c r="B111" s="26" t="s">
        <v>310</v>
      </c>
      <c r="C111" s="26" t="s">
        <v>227</v>
      </c>
      <c r="D111" s="26" t="s">
        <v>174</v>
      </c>
      <c r="E111" s="26" t="s">
        <v>228</v>
      </c>
      <c r="F111" s="26" t="s">
        <v>176</v>
      </c>
      <c r="G111" s="26">
        <v>0.5</v>
      </c>
      <c r="H111" s="26">
        <v>10</v>
      </c>
      <c r="I111" s="26" t="s">
        <v>177</v>
      </c>
      <c r="J111" s="26" t="s">
        <v>178</v>
      </c>
      <c r="K111" s="26" t="s">
        <v>179</v>
      </c>
      <c r="L111" s="26" t="s">
        <v>180</v>
      </c>
      <c r="M111" s="26">
        <v>150</v>
      </c>
      <c r="N111" s="26">
        <v>0.42927170868347297</v>
      </c>
      <c r="O111" s="26">
        <v>0.46200980392156898</v>
      </c>
      <c r="P111" s="26">
        <v>0.44438159879336397</v>
      </c>
      <c r="Q111" s="26">
        <v>52.6</v>
      </c>
      <c r="R111" s="26">
        <v>61</v>
      </c>
      <c r="S111" s="26">
        <v>301</v>
      </c>
      <c r="T111" s="26">
        <v>1018519</v>
      </c>
      <c r="U111" s="26">
        <v>602</v>
      </c>
      <c r="V111" s="26">
        <v>1019121</v>
      </c>
      <c r="W111" s="26">
        <v>301</v>
      </c>
      <c r="X111" s="26">
        <v>1018519</v>
      </c>
      <c r="Y111" s="26">
        <v>602</v>
      </c>
      <c r="Z111" s="26">
        <v>1019121</v>
      </c>
      <c r="AA111" s="26">
        <v>610</v>
      </c>
      <c r="AB111" s="26">
        <v>370</v>
      </c>
      <c r="AC111" s="26">
        <v>240</v>
      </c>
      <c r="AD111" s="26">
        <v>0.39344262295082</v>
      </c>
      <c r="AE111" s="26">
        <v>1E-3</v>
      </c>
      <c r="AF111" s="26">
        <v>52.588999999999999</v>
      </c>
      <c r="AG111" s="26">
        <v>2E-3</v>
      </c>
      <c r="AH111" s="26">
        <v>3.0000000000000001E-3</v>
      </c>
      <c r="AI111" s="26">
        <v>0.11700000000000001</v>
      </c>
      <c r="AJ111" s="26">
        <v>0</v>
      </c>
      <c r="AK111" s="26">
        <v>4.0000000000000001E-3</v>
      </c>
      <c r="AL111" s="26">
        <v>0</v>
      </c>
      <c r="AM111" s="26">
        <v>0</v>
      </c>
      <c r="AN111" s="26">
        <v>52.384</v>
      </c>
      <c r="AO111" s="26">
        <v>0.01</v>
      </c>
      <c r="AP111" s="26">
        <v>1E-3</v>
      </c>
      <c r="AQ111" s="26">
        <v>1E-3</v>
      </c>
      <c r="AR111" s="26">
        <v>1E-3</v>
      </c>
      <c r="AS111" s="26">
        <v>1E-3</v>
      </c>
      <c r="AT111" s="26">
        <v>21</v>
      </c>
      <c r="AU111" s="26">
        <v>23</v>
      </c>
      <c r="AV111" s="26" t="b">
        <v>1</v>
      </c>
      <c r="AW111" s="27"/>
      <c r="AX111" s="26" t="s">
        <v>229</v>
      </c>
      <c r="AY111" s="26">
        <v>23</v>
      </c>
      <c r="AZ111" s="26">
        <v>7</v>
      </c>
      <c r="BA111" s="26">
        <v>16</v>
      </c>
      <c r="BB111" s="26">
        <v>0.5</v>
      </c>
      <c r="BC111" s="26">
        <v>0.5</v>
      </c>
      <c r="BD111" s="27"/>
      <c r="BE111" s="27"/>
      <c r="BF111" s="27"/>
      <c r="BG111" s="27"/>
      <c r="BH111" s="26" t="s">
        <v>230</v>
      </c>
      <c r="BI111" s="26">
        <v>125</v>
      </c>
      <c r="BJ111" s="26">
        <v>240</v>
      </c>
      <c r="BK111" s="26">
        <v>245</v>
      </c>
      <c r="BL111" s="26">
        <v>0.43715846994535501</v>
      </c>
      <c r="BM111" s="27"/>
      <c r="BN111" s="27"/>
      <c r="BO111" s="27"/>
      <c r="BP111" s="27"/>
      <c r="BQ111" s="27"/>
      <c r="BR111" s="27"/>
      <c r="BS111" s="26" t="b">
        <v>1</v>
      </c>
      <c r="BT111" s="26">
        <v>240</v>
      </c>
      <c r="BU111" s="26">
        <v>25</v>
      </c>
      <c r="BV111" s="26">
        <v>42.632849931716898</v>
      </c>
      <c r="BW111" s="27"/>
      <c r="BX111" s="27"/>
      <c r="BY111" s="26">
        <v>42.6437540054321</v>
      </c>
      <c r="BZ111" s="26" t="s">
        <v>231</v>
      </c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6">
        <v>150</v>
      </c>
      <c r="CP111" s="26">
        <v>106</v>
      </c>
      <c r="CQ111" s="26">
        <v>12</v>
      </c>
      <c r="CR111" s="26">
        <v>7</v>
      </c>
      <c r="CS111" s="26">
        <v>25</v>
      </c>
      <c r="CT111" s="26">
        <v>460</v>
      </c>
      <c r="CU111" s="26">
        <v>203</v>
      </c>
      <c r="CV111" s="26">
        <v>26</v>
      </c>
      <c r="CW111" s="26">
        <v>16</v>
      </c>
      <c r="CX111" s="26">
        <v>215</v>
      </c>
    </row>
    <row r="112" spans="1:102" ht="16" customHeight="1" x14ac:dyDescent="0.2">
      <c r="A112" s="8" t="s">
        <v>35</v>
      </c>
      <c r="B112" s="9" t="s">
        <v>311</v>
      </c>
      <c r="C112" s="9" t="s">
        <v>242</v>
      </c>
      <c r="D112" s="9" t="s">
        <v>174</v>
      </c>
      <c r="E112" s="9" t="s">
        <v>175</v>
      </c>
      <c r="F112" s="9" t="s">
        <v>176</v>
      </c>
      <c r="G112" s="9">
        <v>0.5</v>
      </c>
      <c r="H112" s="9">
        <v>1</v>
      </c>
      <c r="I112" s="9" t="s">
        <v>177</v>
      </c>
      <c r="J112" s="9" t="s">
        <v>178</v>
      </c>
      <c r="K112" s="9" t="s">
        <v>179</v>
      </c>
      <c r="L112" s="9" t="s">
        <v>180</v>
      </c>
      <c r="M112" s="9">
        <v>125</v>
      </c>
      <c r="N112" s="9">
        <v>0.208677685950413</v>
      </c>
      <c r="O112" s="9">
        <v>0.24754901960784301</v>
      </c>
      <c r="P112" s="9">
        <v>0.226457399103139</v>
      </c>
      <c r="Q112" s="9">
        <v>2.92</v>
      </c>
      <c r="R112" s="9">
        <v>10</v>
      </c>
      <c r="S112" s="9">
        <v>10</v>
      </c>
      <c r="T112" s="9">
        <v>34964</v>
      </c>
      <c r="U112" s="9">
        <v>20</v>
      </c>
      <c r="V112" s="9">
        <v>34984</v>
      </c>
      <c r="W112" s="9">
        <v>10</v>
      </c>
      <c r="X112" s="9">
        <v>34964</v>
      </c>
      <c r="Y112" s="9">
        <v>20</v>
      </c>
      <c r="Z112" s="9">
        <v>34984</v>
      </c>
      <c r="AA112" s="9">
        <v>610</v>
      </c>
      <c r="AB112" s="9">
        <v>610</v>
      </c>
      <c r="AC112" s="9">
        <v>0</v>
      </c>
      <c r="AD112" s="9">
        <v>0</v>
      </c>
      <c r="AE112" s="9">
        <v>1E-3</v>
      </c>
      <c r="AF112" s="9">
        <v>2.9119999999999999</v>
      </c>
      <c r="AG112" s="9">
        <v>2E-3</v>
      </c>
      <c r="AH112" s="9">
        <v>1E-3</v>
      </c>
      <c r="AI112" s="9">
        <v>0.109</v>
      </c>
      <c r="AJ112" s="9">
        <v>0</v>
      </c>
      <c r="AK112" s="9">
        <v>6.0000000000000001E-3</v>
      </c>
      <c r="AL112" s="9">
        <v>0</v>
      </c>
      <c r="AM112" s="9">
        <v>3.0000000000000001E-3</v>
      </c>
      <c r="AN112" s="9">
        <v>2.738</v>
      </c>
      <c r="AO112" s="9">
        <v>0.01</v>
      </c>
      <c r="AP112" s="9">
        <v>1E-3</v>
      </c>
      <c r="AQ112" s="9">
        <v>0</v>
      </c>
      <c r="AR112" s="9">
        <v>0</v>
      </c>
      <c r="AS112" s="9">
        <v>0</v>
      </c>
      <c r="AT112" s="9" t="s">
        <v>243</v>
      </c>
      <c r="AU112" s="9" t="s">
        <v>243</v>
      </c>
      <c r="AV112" s="9" t="b">
        <v>0</v>
      </c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</row>
    <row r="113" spans="1:102" ht="16" customHeight="1" x14ac:dyDescent="0.2">
      <c r="A113" s="8" t="s">
        <v>35</v>
      </c>
      <c r="B113" s="9" t="s">
        <v>312</v>
      </c>
      <c r="C113" s="9" t="s">
        <v>242</v>
      </c>
      <c r="D113" s="9" t="s">
        <v>174</v>
      </c>
      <c r="E113" s="9" t="s">
        <v>175</v>
      </c>
      <c r="F113" s="9" t="s">
        <v>176</v>
      </c>
      <c r="G113" s="9">
        <v>0.5</v>
      </c>
      <c r="H113" s="9">
        <v>2</v>
      </c>
      <c r="I113" s="9" t="s">
        <v>177</v>
      </c>
      <c r="J113" s="9" t="s">
        <v>178</v>
      </c>
      <c r="K113" s="9" t="s">
        <v>179</v>
      </c>
      <c r="L113" s="9" t="s">
        <v>180</v>
      </c>
      <c r="M113" s="9">
        <v>124</v>
      </c>
      <c r="N113" s="9">
        <v>0.208677685950413</v>
      </c>
      <c r="O113" s="9">
        <v>0.24754901960784301</v>
      </c>
      <c r="P113" s="9">
        <v>0.226457399103139</v>
      </c>
      <c r="Q113" s="9">
        <v>1.92</v>
      </c>
      <c r="R113" s="9">
        <v>12</v>
      </c>
      <c r="S113" s="9">
        <v>12</v>
      </c>
      <c r="T113" s="9">
        <v>43564</v>
      </c>
      <c r="U113" s="9">
        <v>24</v>
      </c>
      <c r="V113" s="9">
        <v>43588</v>
      </c>
      <c r="W113" s="9">
        <v>12</v>
      </c>
      <c r="X113" s="9">
        <v>43564</v>
      </c>
      <c r="Y113" s="9">
        <v>24</v>
      </c>
      <c r="Z113" s="9">
        <v>43588</v>
      </c>
      <c r="AA113" s="9">
        <v>610</v>
      </c>
      <c r="AB113" s="9">
        <v>610</v>
      </c>
      <c r="AC113" s="9">
        <v>0</v>
      </c>
      <c r="AD113" s="9">
        <v>0</v>
      </c>
      <c r="AE113" s="9">
        <v>1E-3</v>
      </c>
      <c r="AF113" s="9">
        <v>1.919</v>
      </c>
      <c r="AG113" s="9">
        <v>2E-3</v>
      </c>
      <c r="AH113" s="9">
        <v>1E-3</v>
      </c>
      <c r="AI113" s="9">
        <v>0.108</v>
      </c>
      <c r="AJ113" s="9">
        <v>0</v>
      </c>
      <c r="AK113" s="9">
        <v>5.0000000000000001E-3</v>
      </c>
      <c r="AL113" s="9">
        <v>0</v>
      </c>
      <c r="AM113" s="9">
        <v>4.0000000000000001E-3</v>
      </c>
      <c r="AN113" s="9">
        <v>1.7470000000000001</v>
      </c>
      <c r="AO113" s="9">
        <v>8.9999999999999993E-3</v>
      </c>
      <c r="AP113" s="9">
        <v>1E-3</v>
      </c>
      <c r="AQ113" s="9">
        <v>0</v>
      </c>
      <c r="AR113" s="9">
        <v>0</v>
      </c>
      <c r="AS113" s="9">
        <v>0</v>
      </c>
      <c r="AT113" s="9" t="s">
        <v>243</v>
      </c>
      <c r="AU113" s="9" t="s">
        <v>243</v>
      </c>
      <c r="AV113" s="9" t="b">
        <v>0</v>
      </c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</row>
    <row r="114" spans="1:102" ht="16" customHeight="1" x14ac:dyDescent="0.2">
      <c r="A114" s="8" t="s">
        <v>35</v>
      </c>
      <c r="B114" s="9" t="s">
        <v>313</v>
      </c>
      <c r="C114" s="9" t="s">
        <v>242</v>
      </c>
      <c r="D114" s="9" t="s">
        <v>174</v>
      </c>
      <c r="E114" s="9" t="s">
        <v>175</v>
      </c>
      <c r="F114" s="9" t="s">
        <v>176</v>
      </c>
      <c r="G114" s="9">
        <v>0.5</v>
      </c>
      <c r="H114" s="9">
        <v>3</v>
      </c>
      <c r="I114" s="9" t="s">
        <v>177</v>
      </c>
      <c r="J114" s="9" t="s">
        <v>178</v>
      </c>
      <c r="K114" s="9" t="s">
        <v>179</v>
      </c>
      <c r="L114" s="9" t="s">
        <v>180</v>
      </c>
      <c r="M114" s="9">
        <v>125</v>
      </c>
      <c r="N114" s="9">
        <v>0.208677685950413</v>
      </c>
      <c r="O114" s="9">
        <v>0.24754901960784301</v>
      </c>
      <c r="P114" s="9">
        <v>0.226457399103139</v>
      </c>
      <c r="Q114" s="9">
        <v>3.72</v>
      </c>
      <c r="R114" s="9">
        <v>18</v>
      </c>
      <c r="S114" s="9">
        <v>18</v>
      </c>
      <c r="T114" s="9">
        <v>66672</v>
      </c>
      <c r="U114" s="9">
        <v>36</v>
      </c>
      <c r="V114" s="9">
        <v>66708</v>
      </c>
      <c r="W114" s="9">
        <v>18</v>
      </c>
      <c r="X114" s="9">
        <v>66672</v>
      </c>
      <c r="Y114" s="9">
        <v>36</v>
      </c>
      <c r="Z114" s="9">
        <v>66708</v>
      </c>
      <c r="AA114" s="9">
        <v>610</v>
      </c>
      <c r="AB114" s="9">
        <v>610</v>
      </c>
      <c r="AC114" s="9">
        <v>0</v>
      </c>
      <c r="AD114" s="9">
        <v>0</v>
      </c>
      <c r="AE114" s="9">
        <v>1E-3</v>
      </c>
      <c r="AF114" s="9">
        <v>3.7120000000000002</v>
      </c>
      <c r="AG114" s="9">
        <v>2E-3</v>
      </c>
      <c r="AH114" s="9">
        <v>1E-3</v>
      </c>
      <c r="AI114" s="9">
        <v>0.108</v>
      </c>
      <c r="AJ114" s="9">
        <v>0</v>
      </c>
      <c r="AK114" s="9">
        <v>5.0000000000000001E-3</v>
      </c>
      <c r="AL114" s="9">
        <v>0</v>
      </c>
      <c r="AM114" s="9">
        <v>6.0000000000000001E-3</v>
      </c>
      <c r="AN114" s="9">
        <v>3.5390000000000001</v>
      </c>
      <c r="AO114" s="9">
        <v>0.01</v>
      </c>
      <c r="AP114" s="9">
        <v>1E-3</v>
      </c>
      <c r="AQ114" s="9">
        <v>0</v>
      </c>
      <c r="AR114" s="9">
        <v>0</v>
      </c>
      <c r="AS114" s="9">
        <v>0</v>
      </c>
      <c r="AT114" s="9" t="s">
        <v>243</v>
      </c>
      <c r="AU114" s="9" t="s">
        <v>243</v>
      </c>
      <c r="AV114" s="9" t="b">
        <v>0</v>
      </c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</row>
    <row r="115" spans="1:102" ht="16" customHeight="1" x14ac:dyDescent="0.2">
      <c r="A115" s="8" t="s">
        <v>35</v>
      </c>
      <c r="B115" s="9" t="s">
        <v>314</v>
      </c>
      <c r="C115" s="9" t="s">
        <v>242</v>
      </c>
      <c r="D115" s="9" t="s">
        <v>174</v>
      </c>
      <c r="E115" s="9" t="s">
        <v>175</v>
      </c>
      <c r="F115" s="9" t="s">
        <v>176</v>
      </c>
      <c r="G115" s="9">
        <v>0.5</v>
      </c>
      <c r="H115" s="9">
        <v>4</v>
      </c>
      <c r="I115" s="9" t="s">
        <v>177</v>
      </c>
      <c r="J115" s="9" t="s">
        <v>178</v>
      </c>
      <c r="K115" s="9" t="s">
        <v>179</v>
      </c>
      <c r="L115" s="9" t="s">
        <v>180</v>
      </c>
      <c r="M115" s="9">
        <v>122</v>
      </c>
      <c r="N115" s="9">
        <v>0.20901639344262299</v>
      </c>
      <c r="O115" s="9">
        <v>0.25</v>
      </c>
      <c r="P115" s="9">
        <v>0.22767857142857101</v>
      </c>
      <c r="Q115" s="9">
        <v>4.59</v>
      </c>
      <c r="R115" s="9">
        <v>24</v>
      </c>
      <c r="S115" s="9">
        <v>24</v>
      </c>
      <c r="T115" s="9">
        <v>87114</v>
      </c>
      <c r="U115" s="9">
        <v>48</v>
      </c>
      <c r="V115" s="9">
        <v>87162</v>
      </c>
      <c r="W115" s="9">
        <v>24</v>
      </c>
      <c r="X115" s="9">
        <v>87114</v>
      </c>
      <c r="Y115" s="9">
        <v>48</v>
      </c>
      <c r="Z115" s="9">
        <v>87162</v>
      </c>
      <c r="AA115" s="9">
        <v>610</v>
      </c>
      <c r="AB115" s="9">
        <v>610</v>
      </c>
      <c r="AC115" s="9">
        <v>0</v>
      </c>
      <c r="AD115" s="9">
        <v>0</v>
      </c>
      <c r="AE115" s="9">
        <v>1E-3</v>
      </c>
      <c r="AF115" s="9">
        <v>4.5869999999999997</v>
      </c>
      <c r="AG115" s="9">
        <v>2E-3</v>
      </c>
      <c r="AH115" s="9">
        <v>1E-3</v>
      </c>
      <c r="AI115" s="9">
        <v>0.10199999999999999</v>
      </c>
      <c r="AJ115" s="9">
        <v>0</v>
      </c>
      <c r="AK115" s="9">
        <v>5.0000000000000001E-3</v>
      </c>
      <c r="AL115" s="9">
        <v>0</v>
      </c>
      <c r="AM115" s="9">
        <v>6.0000000000000001E-3</v>
      </c>
      <c r="AN115" s="9">
        <v>4.4219999999999997</v>
      </c>
      <c r="AO115" s="9">
        <v>0.01</v>
      </c>
      <c r="AP115" s="9">
        <v>1E-3</v>
      </c>
      <c r="AQ115" s="9">
        <v>0</v>
      </c>
      <c r="AR115" s="9">
        <v>0</v>
      </c>
      <c r="AS115" s="9">
        <v>0</v>
      </c>
      <c r="AT115" s="9" t="s">
        <v>243</v>
      </c>
      <c r="AU115" s="9" t="s">
        <v>243</v>
      </c>
      <c r="AV115" s="9" t="b">
        <v>0</v>
      </c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</row>
    <row r="116" spans="1:102" ht="16" customHeight="1" x14ac:dyDescent="0.2">
      <c r="A116" s="8" t="s">
        <v>35</v>
      </c>
      <c r="B116" s="9" t="s">
        <v>315</v>
      </c>
      <c r="C116" s="9" t="s">
        <v>242</v>
      </c>
      <c r="D116" s="9" t="s">
        <v>174</v>
      </c>
      <c r="E116" s="9" t="s">
        <v>175</v>
      </c>
      <c r="F116" s="9" t="s">
        <v>176</v>
      </c>
      <c r="G116" s="9">
        <v>0.5</v>
      </c>
      <c r="H116" s="9">
        <v>5</v>
      </c>
      <c r="I116" s="9" t="s">
        <v>177</v>
      </c>
      <c r="J116" s="9" t="s">
        <v>178</v>
      </c>
      <c r="K116" s="9" t="s">
        <v>179</v>
      </c>
      <c r="L116" s="9" t="s">
        <v>180</v>
      </c>
      <c r="M116" s="9">
        <v>122</v>
      </c>
      <c r="N116" s="9">
        <v>0.20901639344262299</v>
      </c>
      <c r="O116" s="9">
        <v>0.25</v>
      </c>
      <c r="P116" s="9">
        <v>0.22767857142857101</v>
      </c>
      <c r="Q116" s="9">
        <v>5.32</v>
      </c>
      <c r="R116" s="9">
        <v>30</v>
      </c>
      <c r="S116" s="9">
        <v>30</v>
      </c>
      <c r="T116" s="9">
        <v>107556</v>
      </c>
      <c r="U116" s="9">
        <v>60</v>
      </c>
      <c r="V116" s="9">
        <v>107616</v>
      </c>
      <c r="W116" s="9">
        <v>30</v>
      </c>
      <c r="X116" s="9">
        <v>107556</v>
      </c>
      <c r="Y116" s="9">
        <v>60</v>
      </c>
      <c r="Z116" s="9">
        <v>107616</v>
      </c>
      <c r="AA116" s="9">
        <v>610</v>
      </c>
      <c r="AB116" s="9">
        <v>610</v>
      </c>
      <c r="AC116" s="9">
        <v>0</v>
      </c>
      <c r="AD116" s="9">
        <v>0</v>
      </c>
      <c r="AE116" s="9">
        <v>1E-3</v>
      </c>
      <c r="AF116" s="9">
        <v>5.3109999999999999</v>
      </c>
      <c r="AG116" s="9">
        <v>3.0000000000000001E-3</v>
      </c>
      <c r="AH116" s="9">
        <v>1E-3</v>
      </c>
      <c r="AI116" s="9">
        <v>0.10199999999999999</v>
      </c>
      <c r="AJ116" s="9">
        <v>0</v>
      </c>
      <c r="AK116" s="9">
        <v>5.0000000000000001E-3</v>
      </c>
      <c r="AL116" s="9">
        <v>0</v>
      </c>
      <c r="AM116" s="9">
        <v>7.0000000000000001E-3</v>
      </c>
      <c r="AN116" s="9">
        <v>5.1440000000000001</v>
      </c>
      <c r="AO116" s="9">
        <v>1.0999999999999999E-2</v>
      </c>
      <c r="AP116" s="9">
        <v>1E-3</v>
      </c>
      <c r="AQ116" s="9">
        <v>0</v>
      </c>
      <c r="AR116" s="9">
        <v>0</v>
      </c>
      <c r="AS116" s="9">
        <v>0</v>
      </c>
      <c r="AT116" s="9" t="s">
        <v>243</v>
      </c>
      <c r="AU116" s="9" t="s">
        <v>243</v>
      </c>
      <c r="AV116" s="9" t="b">
        <v>0</v>
      </c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</row>
    <row r="117" spans="1:102" ht="16" customHeight="1" x14ac:dyDescent="0.2">
      <c r="A117" s="8" t="s">
        <v>35</v>
      </c>
      <c r="B117" s="9" t="s">
        <v>316</v>
      </c>
      <c r="C117" s="9" t="s">
        <v>242</v>
      </c>
      <c r="D117" s="9" t="s">
        <v>174</v>
      </c>
      <c r="E117" s="9" t="s">
        <v>175</v>
      </c>
      <c r="F117" s="9" t="s">
        <v>176</v>
      </c>
      <c r="G117" s="9">
        <v>0.5</v>
      </c>
      <c r="H117" s="9">
        <v>6</v>
      </c>
      <c r="I117" s="9" t="s">
        <v>177</v>
      </c>
      <c r="J117" s="9" t="s">
        <v>178</v>
      </c>
      <c r="K117" s="9" t="s">
        <v>179</v>
      </c>
      <c r="L117" s="9" t="s">
        <v>180</v>
      </c>
      <c r="M117" s="9">
        <v>122</v>
      </c>
      <c r="N117" s="9">
        <v>0.20901639344262299</v>
      </c>
      <c r="O117" s="9">
        <v>0.25</v>
      </c>
      <c r="P117" s="9">
        <v>0.22767857142857101</v>
      </c>
      <c r="Q117" s="9">
        <v>6.7</v>
      </c>
      <c r="R117" s="9">
        <v>36</v>
      </c>
      <c r="S117" s="9">
        <v>36</v>
      </c>
      <c r="T117" s="9">
        <v>130668</v>
      </c>
      <c r="U117" s="9">
        <v>72</v>
      </c>
      <c r="V117" s="9">
        <v>130740</v>
      </c>
      <c r="W117" s="9">
        <v>36</v>
      </c>
      <c r="X117" s="9">
        <v>130668</v>
      </c>
      <c r="Y117" s="9">
        <v>72</v>
      </c>
      <c r="Z117" s="9">
        <v>130740</v>
      </c>
      <c r="AA117" s="9">
        <v>610</v>
      </c>
      <c r="AB117" s="9">
        <v>610</v>
      </c>
      <c r="AC117" s="9">
        <v>0</v>
      </c>
      <c r="AD117" s="9">
        <v>0</v>
      </c>
      <c r="AE117" s="9">
        <v>1E-3</v>
      </c>
      <c r="AF117" s="9">
        <v>6.6970000000000001</v>
      </c>
      <c r="AG117" s="9">
        <v>2E-3</v>
      </c>
      <c r="AH117" s="9">
        <v>1E-3</v>
      </c>
      <c r="AI117" s="9">
        <v>0.11700000000000001</v>
      </c>
      <c r="AJ117" s="9">
        <v>0</v>
      </c>
      <c r="AK117" s="9">
        <v>5.0000000000000001E-3</v>
      </c>
      <c r="AL117" s="9">
        <v>0</v>
      </c>
      <c r="AM117" s="9">
        <v>0.01</v>
      </c>
      <c r="AN117" s="9">
        <v>6.51</v>
      </c>
      <c r="AO117" s="9">
        <v>8.9999999999999993E-3</v>
      </c>
      <c r="AP117" s="9">
        <v>1E-3</v>
      </c>
      <c r="AQ117" s="9">
        <v>0</v>
      </c>
      <c r="AR117" s="9">
        <v>0</v>
      </c>
      <c r="AS117" s="9">
        <v>0</v>
      </c>
      <c r="AT117" s="9" t="s">
        <v>243</v>
      </c>
      <c r="AU117" s="9" t="s">
        <v>243</v>
      </c>
      <c r="AV117" s="9" t="b">
        <v>0</v>
      </c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</row>
    <row r="118" spans="1:102" ht="16" customHeight="1" x14ac:dyDescent="0.2">
      <c r="A118" s="8" t="s">
        <v>35</v>
      </c>
      <c r="B118" s="9" t="s">
        <v>317</v>
      </c>
      <c r="C118" s="9" t="s">
        <v>242</v>
      </c>
      <c r="D118" s="9" t="s">
        <v>174</v>
      </c>
      <c r="E118" s="9" t="s">
        <v>175</v>
      </c>
      <c r="F118" s="9" t="s">
        <v>176</v>
      </c>
      <c r="G118" s="9">
        <v>0.5</v>
      </c>
      <c r="H118" s="9">
        <v>7</v>
      </c>
      <c r="I118" s="9" t="s">
        <v>177</v>
      </c>
      <c r="J118" s="9" t="s">
        <v>178</v>
      </c>
      <c r="K118" s="9" t="s">
        <v>179</v>
      </c>
      <c r="L118" s="9" t="s">
        <v>180</v>
      </c>
      <c r="M118" s="9">
        <v>122</v>
      </c>
      <c r="N118" s="9">
        <v>0.20901639344262299</v>
      </c>
      <c r="O118" s="9">
        <v>0.25</v>
      </c>
      <c r="P118" s="9">
        <v>0.22767857142857101</v>
      </c>
      <c r="Q118" s="9">
        <v>6.59</v>
      </c>
      <c r="R118" s="9">
        <v>42</v>
      </c>
      <c r="S118" s="9">
        <v>42</v>
      </c>
      <c r="T118" s="9">
        <v>145770</v>
      </c>
      <c r="U118" s="9">
        <v>84</v>
      </c>
      <c r="V118" s="9">
        <v>145854</v>
      </c>
      <c r="W118" s="9">
        <v>42</v>
      </c>
      <c r="X118" s="9">
        <v>145770</v>
      </c>
      <c r="Y118" s="9">
        <v>84</v>
      </c>
      <c r="Z118" s="9">
        <v>145854</v>
      </c>
      <c r="AA118" s="9">
        <v>610</v>
      </c>
      <c r="AB118" s="9">
        <v>610</v>
      </c>
      <c r="AC118" s="9">
        <v>0</v>
      </c>
      <c r="AD118" s="9">
        <v>0</v>
      </c>
      <c r="AE118" s="9">
        <v>1E-3</v>
      </c>
      <c r="AF118" s="9">
        <v>6.5869999999999997</v>
      </c>
      <c r="AG118" s="9">
        <v>2E-3</v>
      </c>
      <c r="AH118" s="9">
        <v>1E-3</v>
      </c>
      <c r="AI118" s="9">
        <v>0.114</v>
      </c>
      <c r="AJ118" s="9">
        <v>0</v>
      </c>
      <c r="AK118" s="9">
        <v>5.0000000000000001E-3</v>
      </c>
      <c r="AL118" s="9">
        <v>0</v>
      </c>
      <c r="AM118" s="9">
        <v>0.01</v>
      </c>
      <c r="AN118" s="9">
        <v>6.4009999999999998</v>
      </c>
      <c r="AO118" s="9">
        <v>0.01</v>
      </c>
      <c r="AP118" s="9">
        <v>1E-3</v>
      </c>
      <c r="AQ118" s="9">
        <v>0</v>
      </c>
      <c r="AR118" s="9">
        <v>0</v>
      </c>
      <c r="AS118" s="9">
        <v>0</v>
      </c>
      <c r="AT118" s="9" t="s">
        <v>243</v>
      </c>
      <c r="AU118" s="9" t="s">
        <v>243</v>
      </c>
      <c r="AV118" s="9" t="b">
        <v>0</v>
      </c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</row>
    <row r="119" spans="1:102" ht="16" customHeight="1" x14ac:dyDescent="0.2">
      <c r="A119" s="8" t="s">
        <v>35</v>
      </c>
      <c r="B119" s="9" t="s">
        <v>318</v>
      </c>
      <c r="C119" s="9" t="s">
        <v>242</v>
      </c>
      <c r="D119" s="9" t="s">
        <v>174</v>
      </c>
      <c r="E119" s="9" t="s">
        <v>175</v>
      </c>
      <c r="F119" s="9" t="s">
        <v>176</v>
      </c>
      <c r="G119" s="9">
        <v>0.5</v>
      </c>
      <c r="H119" s="9">
        <v>8</v>
      </c>
      <c r="I119" s="9" t="s">
        <v>177</v>
      </c>
      <c r="J119" s="9" t="s">
        <v>178</v>
      </c>
      <c r="K119" s="9" t="s">
        <v>179</v>
      </c>
      <c r="L119" s="9" t="s">
        <v>180</v>
      </c>
      <c r="M119" s="9">
        <v>122</v>
      </c>
      <c r="N119" s="9">
        <v>0.20901639344262299</v>
      </c>
      <c r="O119" s="9">
        <v>0.25</v>
      </c>
      <c r="P119" s="9">
        <v>0.22767857142857101</v>
      </c>
      <c r="Q119" s="9">
        <v>7.81</v>
      </c>
      <c r="R119" s="9">
        <v>48</v>
      </c>
      <c r="S119" s="9">
        <v>48</v>
      </c>
      <c r="T119" s="9">
        <v>166212</v>
      </c>
      <c r="U119" s="9">
        <v>96</v>
      </c>
      <c r="V119" s="9">
        <v>166308</v>
      </c>
      <c r="W119" s="9">
        <v>48</v>
      </c>
      <c r="X119" s="9">
        <v>166212</v>
      </c>
      <c r="Y119" s="9">
        <v>96</v>
      </c>
      <c r="Z119" s="9">
        <v>166308</v>
      </c>
      <c r="AA119" s="9">
        <v>610</v>
      </c>
      <c r="AB119" s="9">
        <v>610</v>
      </c>
      <c r="AC119" s="9">
        <v>0</v>
      </c>
      <c r="AD119" s="9">
        <v>0</v>
      </c>
      <c r="AE119" s="9">
        <v>1E-3</v>
      </c>
      <c r="AF119" s="9">
        <v>7.8090000000000002</v>
      </c>
      <c r="AG119" s="9">
        <v>2E-3</v>
      </c>
      <c r="AH119" s="9">
        <v>1E-3</v>
      </c>
      <c r="AI119" s="9">
        <v>0.115</v>
      </c>
      <c r="AJ119" s="9">
        <v>0</v>
      </c>
      <c r="AK119" s="9">
        <v>5.0000000000000001E-3</v>
      </c>
      <c r="AL119" s="9">
        <v>0</v>
      </c>
      <c r="AM119" s="9">
        <v>8.9999999999999993E-3</v>
      </c>
      <c r="AN119" s="9">
        <v>7.6269999999999998</v>
      </c>
      <c r="AO119" s="9">
        <v>8.9999999999999993E-3</v>
      </c>
      <c r="AP119" s="9">
        <v>1E-3</v>
      </c>
      <c r="AQ119" s="9">
        <v>0</v>
      </c>
      <c r="AR119" s="9">
        <v>0</v>
      </c>
      <c r="AS119" s="9">
        <v>0</v>
      </c>
      <c r="AT119" s="9" t="s">
        <v>243</v>
      </c>
      <c r="AU119" s="9" t="s">
        <v>243</v>
      </c>
      <c r="AV119" s="9" t="b">
        <v>0</v>
      </c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</row>
    <row r="120" spans="1:102" ht="16" customHeight="1" x14ac:dyDescent="0.2">
      <c r="A120" s="8" t="s">
        <v>35</v>
      </c>
      <c r="B120" s="9" t="s">
        <v>319</v>
      </c>
      <c r="C120" s="9" t="s">
        <v>242</v>
      </c>
      <c r="D120" s="9" t="s">
        <v>174</v>
      </c>
      <c r="E120" s="9" t="s">
        <v>175</v>
      </c>
      <c r="F120" s="9" t="s">
        <v>176</v>
      </c>
      <c r="G120" s="9">
        <v>0.5</v>
      </c>
      <c r="H120" s="9">
        <v>9</v>
      </c>
      <c r="I120" s="9" t="s">
        <v>177</v>
      </c>
      <c r="J120" s="9" t="s">
        <v>178</v>
      </c>
      <c r="K120" s="9" t="s">
        <v>179</v>
      </c>
      <c r="L120" s="9" t="s">
        <v>180</v>
      </c>
      <c r="M120" s="9">
        <v>122</v>
      </c>
      <c r="N120" s="9">
        <v>0.20901639344262299</v>
      </c>
      <c r="O120" s="9">
        <v>0.25</v>
      </c>
      <c r="P120" s="9">
        <v>0.22767857142857101</v>
      </c>
      <c r="Q120" s="9">
        <v>8.4600000000000009</v>
      </c>
      <c r="R120" s="9">
        <v>54</v>
      </c>
      <c r="S120" s="9">
        <v>54</v>
      </c>
      <c r="T120" s="9">
        <v>183984</v>
      </c>
      <c r="U120" s="9">
        <v>108</v>
      </c>
      <c r="V120" s="9">
        <v>184092</v>
      </c>
      <c r="W120" s="9">
        <v>54</v>
      </c>
      <c r="X120" s="9">
        <v>183984</v>
      </c>
      <c r="Y120" s="9">
        <v>108</v>
      </c>
      <c r="Z120" s="9">
        <v>184092</v>
      </c>
      <c r="AA120" s="9">
        <v>610</v>
      </c>
      <c r="AB120" s="9">
        <v>610</v>
      </c>
      <c r="AC120" s="9">
        <v>0</v>
      </c>
      <c r="AD120" s="9">
        <v>0</v>
      </c>
      <c r="AE120" s="9">
        <v>1E-3</v>
      </c>
      <c r="AF120" s="9">
        <v>8.4529999999999994</v>
      </c>
      <c r="AG120" s="9">
        <v>2E-3</v>
      </c>
      <c r="AH120" s="9">
        <v>1E-3</v>
      </c>
      <c r="AI120" s="9">
        <v>0.16600000000000001</v>
      </c>
      <c r="AJ120" s="9">
        <v>0</v>
      </c>
      <c r="AK120" s="9">
        <v>5.0000000000000001E-3</v>
      </c>
      <c r="AL120" s="9">
        <v>0</v>
      </c>
      <c r="AM120" s="9">
        <v>1.2999999999999999E-2</v>
      </c>
      <c r="AN120" s="9">
        <v>8.2129999999999992</v>
      </c>
      <c r="AO120" s="9">
        <v>1.0999999999999999E-2</v>
      </c>
      <c r="AP120" s="9">
        <v>1E-3</v>
      </c>
      <c r="AQ120" s="9">
        <v>0</v>
      </c>
      <c r="AR120" s="9">
        <v>0</v>
      </c>
      <c r="AS120" s="9">
        <v>0</v>
      </c>
      <c r="AT120" s="9" t="s">
        <v>243</v>
      </c>
      <c r="AU120" s="9" t="s">
        <v>243</v>
      </c>
      <c r="AV120" s="9" t="b">
        <v>0</v>
      </c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</row>
    <row r="121" spans="1:102" s="28" customFormat="1" ht="16" customHeight="1" x14ac:dyDescent="0.2">
      <c r="A121" s="25" t="s">
        <v>35</v>
      </c>
      <c r="B121" s="26" t="s">
        <v>320</v>
      </c>
      <c r="C121" s="26" t="s">
        <v>242</v>
      </c>
      <c r="D121" s="26" t="s">
        <v>174</v>
      </c>
      <c r="E121" s="26" t="s">
        <v>175</v>
      </c>
      <c r="F121" s="26" t="s">
        <v>176</v>
      </c>
      <c r="G121" s="26">
        <v>0.5</v>
      </c>
      <c r="H121" s="26">
        <v>10</v>
      </c>
      <c r="I121" s="26" t="s">
        <v>177</v>
      </c>
      <c r="J121" s="26" t="s">
        <v>178</v>
      </c>
      <c r="K121" s="26" t="s">
        <v>179</v>
      </c>
      <c r="L121" s="26" t="s">
        <v>180</v>
      </c>
      <c r="M121" s="26">
        <v>122</v>
      </c>
      <c r="N121" s="26">
        <v>0.20901639344262299</v>
      </c>
      <c r="O121" s="26">
        <v>0.25</v>
      </c>
      <c r="P121" s="26">
        <v>0.22767857142857101</v>
      </c>
      <c r="Q121" s="26">
        <v>9.2200000000000006</v>
      </c>
      <c r="R121" s="26">
        <v>61</v>
      </c>
      <c r="S121" s="26">
        <v>61</v>
      </c>
      <c r="T121" s="26">
        <v>200713</v>
      </c>
      <c r="U121" s="26">
        <v>122</v>
      </c>
      <c r="V121" s="26">
        <v>200835</v>
      </c>
      <c r="W121" s="26">
        <v>61</v>
      </c>
      <c r="X121" s="26">
        <v>200713</v>
      </c>
      <c r="Y121" s="26">
        <v>122</v>
      </c>
      <c r="Z121" s="26">
        <v>200835</v>
      </c>
      <c r="AA121" s="26">
        <v>610</v>
      </c>
      <c r="AB121" s="26">
        <v>610</v>
      </c>
      <c r="AC121" s="26">
        <v>0</v>
      </c>
      <c r="AD121" s="26">
        <v>0</v>
      </c>
      <c r="AE121" s="26">
        <v>1E-3</v>
      </c>
      <c r="AF121" s="26">
        <v>9.2189999999999994</v>
      </c>
      <c r="AG121" s="26">
        <v>2E-3</v>
      </c>
      <c r="AH121" s="26">
        <v>1E-3</v>
      </c>
      <c r="AI121" s="26">
        <v>0.113</v>
      </c>
      <c r="AJ121" s="26">
        <v>0</v>
      </c>
      <c r="AK121" s="26">
        <v>6.0000000000000001E-3</v>
      </c>
      <c r="AL121" s="26">
        <v>0</v>
      </c>
      <c r="AM121" s="26">
        <v>1.2999999999999999E-2</v>
      </c>
      <c r="AN121" s="26">
        <v>9.0289999999999999</v>
      </c>
      <c r="AO121" s="26">
        <v>1.0999999999999999E-2</v>
      </c>
      <c r="AP121" s="26">
        <v>1E-3</v>
      </c>
      <c r="AQ121" s="26">
        <v>0</v>
      </c>
      <c r="AR121" s="26">
        <v>0</v>
      </c>
      <c r="AS121" s="26">
        <v>0</v>
      </c>
      <c r="AT121" s="26" t="s">
        <v>243</v>
      </c>
      <c r="AU121" s="26" t="s">
        <v>243</v>
      </c>
      <c r="AV121" s="26" t="b">
        <v>0</v>
      </c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</row>
    <row r="122" spans="1:102" ht="16" customHeight="1" x14ac:dyDescent="0.2">
      <c r="A122" s="8" t="s">
        <v>35</v>
      </c>
      <c r="B122" s="9" t="s">
        <v>321</v>
      </c>
      <c r="C122" s="9" t="s">
        <v>254</v>
      </c>
      <c r="D122" s="9" t="s">
        <v>174</v>
      </c>
      <c r="E122" s="9" t="s">
        <v>187</v>
      </c>
      <c r="F122" s="9" t="s">
        <v>176</v>
      </c>
      <c r="G122" s="9">
        <v>0.5</v>
      </c>
      <c r="H122" s="9">
        <v>1</v>
      </c>
      <c r="I122" s="9" t="s">
        <v>177</v>
      </c>
      <c r="J122" s="9" t="s">
        <v>178</v>
      </c>
      <c r="K122" s="9" t="s">
        <v>179</v>
      </c>
      <c r="L122" s="9" t="s">
        <v>180</v>
      </c>
      <c r="M122" s="9">
        <v>122</v>
      </c>
      <c r="N122" s="9">
        <v>0.20901639344262299</v>
      </c>
      <c r="O122" s="9">
        <v>0.25</v>
      </c>
      <c r="P122" s="9">
        <v>0.22767857142857101</v>
      </c>
      <c r="Q122" s="9">
        <v>3.46</v>
      </c>
      <c r="R122" s="9">
        <v>10</v>
      </c>
      <c r="S122" s="9">
        <v>10</v>
      </c>
      <c r="T122" s="9">
        <v>40306</v>
      </c>
      <c r="U122" s="9">
        <v>20</v>
      </c>
      <c r="V122" s="9">
        <v>40326</v>
      </c>
      <c r="W122" s="9">
        <v>10</v>
      </c>
      <c r="X122" s="9">
        <v>40306</v>
      </c>
      <c r="Y122" s="9">
        <v>20</v>
      </c>
      <c r="Z122" s="9">
        <v>40326</v>
      </c>
      <c r="AA122" s="9">
        <v>610</v>
      </c>
      <c r="AB122" s="9">
        <v>610</v>
      </c>
      <c r="AC122" s="9">
        <v>0</v>
      </c>
      <c r="AD122" s="9">
        <v>0</v>
      </c>
      <c r="AE122" s="9">
        <v>1E-3</v>
      </c>
      <c r="AF122" s="9">
        <v>3.4569999999999999</v>
      </c>
      <c r="AG122" s="9">
        <v>2E-3</v>
      </c>
      <c r="AH122" s="9">
        <v>3.0000000000000001E-3</v>
      </c>
      <c r="AI122" s="9">
        <v>0.104</v>
      </c>
      <c r="AJ122" s="9">
        <v>0</v>
      </c>
      <c r="AK122" s="9">
        <v>5.0000000000000001E-3</v>
      </c>
      <c r="AL122" s="9">
        <v>0</v>
      </c>
      <c r="AM122" s="9">
        <v>0</v>
      </c>
      <c r="AN122" s="9">
        <v>3.2949999999999999</v>
      </c>
      <c r="AO122" s="9">
        <v>0.01</v>
      </c>
      <c r="AP122" s="9">
        <v>1E-3</v>
      </c>
      <c r="AQ122" s="9">
        <v>1E-3</v>
      </c>
      <c r="AR122" s="9">
        <v>0</v>
      </c>
      <c r="AS122" s="9">
        <v>1E-3</v>
      </c>
      <c r="AT122" s="9">
        <v>5</v>
      </c>
      <c r="AU122" s="9">
        <v>24</v>
      </c>
      <c r="AV122" s="9" t="b">
        <v>0</v>
      </c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</row>
    <row r="123" spans="1:102" ht="16" customHeight="1" x14ac:dyDescent="0.2">
      <c r="A123" s="8" t="s">
        <v>35</v>
      </c>
      <c r="B123" s="9" t="s">
        <v>322</v>
      </c>
      <c r="C123" s="9" t="s">
        <v>254</v>
      </c>
      <c r="D123" s="9" t="s">
        <v>174</v>
      </c>
      <c r="E123" s="9" t="s">
        <v>187</v>
      </c>
      <c r="F123" s="9" t="s">
        <v>176</v>
      </c>
      <c r="G123" s="9">
        <v>0.5</v>
      </c>
      <c r="H123" s="9">
        <v>2</v>
      </c>
      <c r="I123" s="9" t="s">
        <v>177</v>
      </c>
      <c r="J123" s="9" t="s">
        <v>178</v>
      </c>
      <c r="K123" s="9" t="s">
        <v>179</v>
      </c>
      <c r="L123" s="9" t="s">
        <v>180</v>
      </c>
      <c r="M123" s="9">
        <v>123</v>
      </c>
      <c r="N123" s="9">
        <v>0.46074380165289303</v>
      </c>
      <c r="O123" s="9">
        <v>0.27083333333333298</v>
      </c>
      <c r="P123" s="9">
        <v>0.26716109003104499</v>
      </c>
      <c r="Q123" s="9">
        <v>2.94</v>
      </c>
      <c r="R123" s="9">
        <v>12</v>
      </c>
      <c r="S123" s="9">
        <v>12</v>
      </c>
      <c r="T123" s="9">
        <v>48914</v>
      </c>
      <c r="U123" s="9">
        <v>24</v>
      </c>
      <c r="V123" s="9">
        <v>48938</v>
      </c>
      <c r="W123" s="9">
        <v>12</v>
      </c>
      <c r="X123" s="9">
        <v>48914</v>
      </c>
      <c r="Y123" s="9">
        <v>24</v>
      </c>
      <c r="Z123" s="9">
        <v>48938</v>
      </c>
      <c r="AA123" s="9">
        <v>610</v>
      </c>
      <c r="AB123" s="9">
        <v>610</v>
      </c>
      <c r="AC123" s="9">
        <v>0</v>
      </c>
      <c r="AD123" s="9">
        <v>0</v>
      </c>
      <c r="AE123" s="9">
        <v>1E-3</v>
      </c>
      <c r="AF123" s="9">
        <v>2.93</v>
      </c>
      <c r="AG123" s="9">
        <v>2E-3</v>
      </c>
      <c r="AH123" s="9">
        <v>2E-3</v>
      </c>
      <c r="AI123" s="9">
        <v>0.106</v>
      </c>
      <c r="AJ123" s="9">
        <v>0</v>
      </c>
      <c r="AK123" s="9">
        <v>5.0000000000000001E-3</v>
      </c>
      <c r="AL123" s="9">
        <v>0</v>
      </c>
      <c r="AM123" s="9">
        <v>0</v>
      </c>
      <c r="AN123" s="9">
        <v>2.7690000000000001</v>
      </c>
      <c r="AO123" s="9">
        <v>8.9999999999999993E-3</v>
      </c>
      <c r="AP123" s="9">
        <v>1E-3</v>
      </c>
      <c r="AQ123" s="9">
        <v>1E-3</v>
      </c>
      <c r="AR123" s="9">
        <v>0</v>
      </c>
      <c r="AS123" s="9">
        <v>1E-3</v>
      </c>
      <c r="AT123" s="9">
        <v>5</v>
      </c>
      <c r="AU123" s="9">
        <v>24</v>
      </c>
      <c r="AV123" s="9" t="b">
        <v>0</v>
      </c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</row>
    <row r="124" spans="1:102" ht="16" customHeight="1" x14ac:dyDescent="0.2">
      <c r="A124" s="8" t="s">
        <v>35</v>
      </c>
      <c r="B124" s="9" t="s">
        <v>323</v>
      </c>
      <c r="C124" s="9" t="s">
        <v>254</v>
      </c>
      <c r="D124" s="9" t="s">
        <v>174</v>
      </c>
      <c r="E124" s="9" t="s">
        <v>187</v>
      </c>
      <c r="F124" s="9" t="s">
        <v>176</v>
      </c>
      <c r="G124" s="9">
        <v>0.5</v>
      </c>
      <c r="H124" s="9">
        <v>3</v>
      </c>
      <c r="I124" s="9" t="s">
        <v>177</v>
      </c>
      <c r="J124" s="9" t="s">
        <v>178</v>
      </c>
      <c r="K124" s="9" t="s">
        <v>179</v>
      </c>
      <c r="L124" s="9" t="s">
        <v>180</v>
      </c>
      <c r="M124" s="9">
        <v>1</v>
      </c>
      <c r="N124" s="9">
        <v>0.208677685950413</v>
      </c>
      <c r="O124" s="9">
        <v>0.24754901960784301</v>
      </c>
      <c r="P124" s="9">
        <v>0.226457399103139</v>
      </c>
      <c r="Q124" s="9">
        <v>3.28</v>
      </c>
      <c r="R124" s="9">
        <v>18</v>
      </c>
      <c r="S124" s="9">
        <v>18</v>
      </c>
      <c r="T124" s="9">
        <v>64030</v>
      </c>
      <c r="U124" s="9">
        <v>36</v>
      </c>
      <c r="V124" s="9">
        <v>64066</v>
      </c>
      <c r="W124" s="9">
        <v>18</v>
      </c>
      <c r="X124" s="9">
        <v>64030</v>
      </c>
      <c r="Y124" s="9">
        <v>36</v>
      </c>
      <c r="Z124" s="9">
        <v>64066</v>
      </c>
      <c r="AA124" s="9">
        <v>610</v>
      </c>
      <c r="AB124" s="9">
        <v>610</v>
      </c>
      <c r="AC124" s="9">
        <v>0</v>
      </c>
      <c r="AD124" s="9">
        <v>0</v>
      </c>
      <c r="AE124" s="9">
        <v>1E-3</v>
      </c>
      <c r="AF124" s="9">
        <v>3.2690000000000001</v>
      </c>
      <c r="AG124" s="9">
        <v>2E-3</v>
      </c>
      <c r="AH124" s="9">
        <v>3.0000000000000001E-3</v>
      </c>
      <c r="AI124" s="9">
        <v>0.104</v>
      </c>
      <c r="AJ124" s="9">
        <v>0</v>
      </c>
      <c r="AK124" s="9">
        <v>5.0000000000000001E-3</v>
      </c>
      <c r="AL124" s="9">
        <v>0</v>
      </c>
      <c r="AM124" s="9">
        <v>0</v>
      </c>
      <c r="AN124" s="9">
        <v>3.1120000000000001</v>
      </c>
      <c r="AO124" s="9">
        <v>8.9999999999999993E-3</v>
      </c>
      <c r="AP124" s="9">
        <v>1E-3</v>
      </c>
      <c r="AQ124" s="9">
        <v>1E-3</v>
      </c>
      <c r="AR124" s="9">
        <v>0</v>
      </c>
      <c r="AS124" s="9">
        <v>1E-3</v>
      </c>
      <c r="AT124" s="9">
        <v>5</v>
      </c>
      <c r="AU124" s="9">
        <v>18</v>
      </c>
      <c r="AV124" s="9" t="b">
        <v>0</v>
      </c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</row>
    <row r="125" spans="1:102" ht="16" customHeight="1" x14ac:dyDescent="0.2">
      <c r="A125" s="8" t="s">
        <v>35</v>
      </c>
      <c r="B125" s="9" t="s">
        <v>324</v>
      </c>
      <c r="C125" s="9" t="s">
        <v>254</v>
      </c>
      <c r="D125" s="9" t="s">
        <v>174</v>
      </c>
      <c r="E125" s="9" t="s">
        <v>187</v>
      </c>
      <c r="F125" s="9" t="s">
        <v>176</v>
      </c>
      <c r="G125" s="9">
        <v>0.5</v>
      </c>
      <c r="H125" s="9">
        <v>4</v>
      </c>
      <c r="I125" s="9" t="s">
        <v>177</v>
      </c>
      <c r="J125" s="9" t="s">
        <v>178</v>
      </c>
      <c r="K125" s="9" t="s">
        <v>179</v>
      </c>
      <c r="L125" s="9" t="s">
        <v>180</v>
      </c>
      <c r="M125" s="9">
        <v>123</v>
      </c>
      <c r="N125" s="9">
        <v>0.46074380165289303</v>
      </c>
      <c r="O125" s="9">
        <v>0.27083333333333298</v>
      </c>
      <c r="P125" s="9">
        <v>0.26716109003104499</v>
      </c>
      <c r="Q125" s="9">
        <v>4.6500000000000004</v>
      </c>
      <c r="R125" s="9">
        <v>24</v>
      </c>
      <c r="S125" s="9">
        <v>24</v>
      </c>
      <c r="T125" s="9">
        <v>84452</v>
      </c>
      <c r="U125" s="9">
        <v>48</v>
      </c>
      <c r="V125" s="9">
        <v>84500</v>
      </c>
      <c r="W125" s="9">
        <v>24</v>
      </c>
      <c r="X125" s="9">
        <v>84452</v>
      </c>
      <c r="Y125" s="9">
        <v>48</v>
      </c>
      <c r="Z125" s="9">
        <v>84500</v>
      </c>
      <c r="AA125" s="9">
        <v>610</v>
      </c>
      <c r="AB125" s="9">
        <v>610</v>
      </c>
      <c r="AC125" s="9">
        <v>0</v>
      </c>
      <c r="AD125" s="9">
        <v>0</v>
      </c>
      <c r="AE125" s="9">
        <v>1E-3</v>
      </c>
      <c r="AF125" s="9">
        <v>4.6440000000000001</v>
      </c>
      <c r="AG125" s="9">
        <v>2E-3</v>
      </c>
      <c r="AH125" s="9">
        <v>3.0000000000000001E-3</v>
      </c>
      <c r="AI125" s="9">
        <v>0.10199999999999999</v>
      </c>
      <c r="AJ125" s="9">
        <v>0</v>
      </c>
      <c r="AK125" s="9">
        <v>5.0000000000000001E-3</v>
      </c>
      <c r="AL125" s="9">
        <v>0</v>
      </c>
      <c r="AM125" s="9">
        <v>0</v>
      </c>
      <c r="AN125" s="9">
        <v>4.4850000000000003</v>
      </c>
      <c r="AO125" s="9">
        <v>8.9999999999999993E-3</v>
      </c>
      <c r="AP125" s="9">
        <v>1E-3</v>
      </c>
      <c r="AQ125" s="9">
        <v>1E-3</v>
      </c>
      <c r="AR125" s="9">
        <v>0</v>
      </c>
      <c r="AS125" s="9">
        <v>1E-3</v>
      </c>
      <c r="AT125" s="9">
        <v>5</v>
      </c>
      <c r="AU125" s="9">
        <v>24</v>
      </c>
      <c r="AV125" s="9" t="b">
        <v>0</v>
      </c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</row>
    <row r="126" spans="1:102" ht="16" customHeight="1" x14ac:dyDescent="0.2">
      <c r="A126" s="8" t="s">
        <v>35</v>
      </c>
      <c r="B126" s="9" t="s">
        <v>325</v>
      </c>
      <c r="C126" s="9" t="s">
        <v>254</v>
      </c>
      <c r="D126" s="9" t="s">
        <v>174</v>
      </c>
      <c r="E126" s="9" t="s">
        <v>187</v>
      </c>
      <c r="F126" s="9" t="s">
        <v>176</v>
      </c>
      <c r="G126" s="9">
        <v>0.5</v>
      </c>
      <c r="H126" s="9">
        <v>5</v>
      </c>
      <c r="I126" s="9" t="s">
        <v>177</v>
      </c>
      <c r="J126" s="9" t="s">
        <v>178</v>
      </c>
      <c r="K126" s="9" t="s">
        <v>179</v>
      </c>
      <c r="L126" s="9" t="s">
        <v>180</v>
      </c>
      <c r="M126" s="9">
        <v>126</v>
      </c>
      <c r="N126" s="9">
        <v>0.46186440677966101</v>
      </c>
      <c r="O126" s="9">
        <v>0.28676470588235298</v>
      </c>
      <c r="P126" s="9">
        <v>0.29870129870129902</v>
      </c>
      <c r="Q126" s="9">
        <v>7.82</v>
      </c>
      <c r="R126" s="9">
        <v>30</v>
      </c>
      <c r="S126" s="9">
        <v>30</v>
      </c>
      <c r="T126" s="9">
        <v>115596</v>
      </c>
      <c r="U126" s="9">
        <v>60</v>
      </c>
      <c r="V126" s="9">
        <v>115656</v>
      </c>
      <c r="W126" s="9">
        <v>30</v>
      </c>
      <c r="X126" s="9">
        <v>115596</v>
      </c>
      <c r="Y126" s="9">
        <v>60</v>
      </c>
      <c r="Z126" s="9">
        <v>115656</v>
      </c>
      <c r="AA126" s="9">
        <v>610</v>
      </c>
      <c r="AB126" s="9">
        <v>610</v>
      </c>
      <c r="AC126" s="9">
        <v>0</v>
      </c>
      <c r="AD126" s="9">
        <v>0</v>
      </c>
      <c r="AE126" s="9">
        <v>1E-3</v>
      </c>
      <c r="AF126" s="9">
        <v>7.8150000000000004</v>
      </c>
      <c r="AG126" s="9">
        <v>2E-3</v>
      </c>
      <c r="AH126" s="9">
        <v>3.0000000000000001E-3</v>
      </c>
      <c r="AI126" s="9">
        <v>0.105</v>
      </c>
      <c r="AJ126" s="9">
        <v>0</v>
      </c>
      <c r="AK126" s="9">
        <v>5.0000000000000001E-3</v>
      </c>
      <c r="AL126" s="9">
        <v>0</v>
      </c>
      <c r="AM126" s="9">
        <v>0</v>
      </c>
      <c r="AN126" s="9">
        <v>7.6529999999999996</v>
      </c>
      <c r="AO126" s="9">
        <v>8.9999999999999993E-3</v>
      </c>
      <c r="AP126" s="9">
        <v>1E-3</v>
      </c>
      <c r="AQ126" s="9">
        <v>1E-3</v>
      </c>
      <c r="AR126" s="9">
        <v>0</v>
      </c>
      <c r="AS126" s="9">
        <v>1E-3</v>
      </c>
      <c r="AT126" s="9">
        <v>17</v>
      </c>
      <c r="AU126" s="9">
        <v>23</v>
      </c>
      <c r="AV126" s="9" t="b">
        <v>0</v>
      </c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</row>
    <row r="127" spans="1:102" ht="16" customHeight="1" x14ac:dyDescent="0.2">
      <c r="A127" s="8" t="s">
        <v>35</v>
      </c>
      <c r="B127" s="9" t="s">
        <v>326</v>
      </c>
      <c r="C127" s="9" t="s">
        <v>254</v>
      </c>
      <c r="D127" s="9" t="s">
        <v>174</v>
      </c>
      <c r="E127" s="9" t="s">
        <v>187</v>
      </c>
      <c r="F127" s="9" t="s">
        <v>176</v>
      </c>
      <c r="G127" s="9">
        <v>0.5</v>
      </c>
      <c r="H127" s="9">
        <v>6</v>
      </c>
      <c r="I127" s="9" t="s">
        <v>177</v>
      </c>
      <c r="J127" s="9" t="s">
        <v>178</v>
      </c>
      <c r="K127" s="9" t="s">
        <v>179</v>
      </c>
      <c r="L127" s="9" t="s">
        <v>180</v>
      </c>
      <c r="M127" s="9">
        <v>123</v>
      </c>
      <c r="N127" s="9">
        <v>0.208677685950413</v>
      </c>
      <c r="O127" s="9">
        <v>0.24754901960784301</v>
      </c>
      <c r="P127" s="9">
        <v>0.226457399103139</v>
      </c>
      <c r="Q127" s="9">
        <v>8.8800000000000008</v>
      </c>
      <c r="R127" s="9">
        <v>36</v>
      </c>
      <c r="S127" s="9">
        <v>36</v>
      </c>
      <c r="T127" s="9">
        <v>136026</v>
      </c>
      <c r="U127" s="9">
        <v>72</v>
      </c>
      <c r="V127" s="9">
        <v>136098</v>
      </c>
      <c r="W127" s="9">
        <v>36</v>
      </c>
      <c r="X127" s="9">
        <v>136026</v>
      </c>
      <c r="Y127" s="9">
        <v>72</v>
      </c>
      <c r="Z127" s="9">
        <v>136098</v>
      </c>
      <c r="AA127" s="9">
        <v>610</v>
      </c>
      <c r="AB127" s="9">
        <v>610</v>
      </c>
      <c r="AC127" s="9">
        <v>0</v>
      </c>
      <c r="AD127" s="9">
        <v>0</v>
      </c>
      <c r="AE127" s="9">
        <v>1E-3</v>
      </c>
      <c r="AF127" s="9">
        <v>8.8759999999999994</v>
      </c>
      <c r="AG127" s="9">
        <v>2E-3</v>
      </c>
      <c r="AH127" s="9">
        <v>3.0000000000000001E-3</v>
      </c>
      <c r="AI127" s="9">
        <v>0.10199999999999999</v>
      </c>
      <c r="AJ127" s="9">
        <v>0</v>
      </c>
      <c r="AK127" s="9">
        <v>5.0000000000000001E-3</v>
      </c>
      <c r="AL127" s="9">
        <v>0</v>
      </c>
      <c r="AM127" s="9">
        <v>0</v>
      </c>
      <c r="AN127" s="9">
        <v>8.7170000000000005</v>
      </c>
      <c r="AO127" s="9">
        <v>0.01</v>
      </c>
      <c r="AP127" s="9">
        <v>1E-3</v>
      </c>
      <c r="AQ127" s="9">
        <v>1E-3</v>
      </c>
      <c r="AR127" s="9">
        <v>0</v>
      </c>
      <c r="AS127" s="9">
        <v>1E-3</v>
      </c>
      <c r="AT127" s="9">
        <v>18</v>
      </c>
      <c r="AU127" s="9">
        <v>24</v>
      </c>
      <c r="AV127" s="9" t="b">
        <v>0</v>
      </c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</row>
    <row r="128" spans="1:102" ht="16" customHeight="1" x14ac:dyDescent="0.2">
      <c r="A128" s="8" t="s">
        <v>35</v>
      </c>
      <c r="B128" s="9" t="s">
        <v>327</v>
      </c>
      <c r="C128" s="9" t="s">
        <v>254</v>
      </c>
      <c r="D128" s="9" t="s">
        <v>174</v>
      </c>
      <c r="E128" s="9" t="s">
        <v>187</v>
      </c>
      <c r="F128" s="9" t="s">
        <v>176</v>
      </c>
      <c r="G128" s="9">
        <v>0.5</v>
      </c>
      <c r="H128" s="9">
        <v>7</v>
      </c>
      <c r="I128" s="9" t="s">
        <v>177</v>
      </c>
      <c r="J128" s="9" t="s">
        <v>178</v>
      </c>
      <c r="K128" s="9" t="s">
        <v>179</v>
      </c>
      <c r="L128" s="9" t="s">
        <v>180</v>
      </c>
      <c r="M128" s="9">
        <v>122</v>
      </c>
      <c r="N128" s="9">
        <v>0.20901639344262299</v>
      </c>
      <c r="O128" s="9">
        <v>0.25</v>
      </c>
      <c r="P128" s="9">
        <v>0.22767857142857101</v>
      </c>
      <c r="Q128" s="9">
        <v>8.84</v>
      </c>
      <c r="R128" s="9">
        <v>42</v>
      </c>
      <c r="S128" s="9">
        <v>42</v>
      </c>
      <c r="T128" s="9">
        <v>145786</v>
      </c>
      <c r="U128" s="9">
        <v>84</v>
      </c>
      <c r="V128" s="9">
        <v>145870</v>
      </c>
      <c r="W128" s="9">
        <v>42</v>
      </c>
      <c r="X128" s="9">
        <v>145786</v>
      </c>
      <c r="Y128" s="9">
        <v>84</v>
      </c>
      <c r="Z128" s="9">
        <v>145870</v>
      </c>
      <c r="AA128" s="9">
        <v>610</v>
      </c>
      <c r="AB128" s="9">
        <v>610</v>
      </c>
      <c r="AC128" s="9">
        <v>0</v>
      </c>
      <c r="AD128" s="9">
        <v>0</v>
      </c>
      <c r="AE128" s="9">
        <v>1E-3</v>
      </c>
      <c r="AF128" s="9">
        <v>8.8360000000000003</v>
      </c>
      <c r="AG128" s="9">
        <v>3.0000000000000001E-3</v>
      </c>
      <c r="AH128" s="9">
        <v>3.0000000000000001E-3</v>
      </c>
      <c r="AI128" s="9">
        <v>0.108</v>
      </c>
      <c r="AJ128" s="9">
        <v>0</v>
      </c>
      <c r="AK128" s="9">
        <v>5.0000000000000001E-3</v>
      </c>
      <c r="AL128" s="9">
        <v>0</v>
      </c>
      <c r="AM128" s="9">
        <v>0</v>
      </c>
      <c r="AN128" s="9">
        <v>8.6709999999999994</v>
      </c>
      <c r="AO128" s="9">
        <v>8.9999999999999993E-3</v>
      </c>
      <c r="AP128" s="9">
        <v>1E-3</v>
      </c>
      <c r="AQ128" s="9">
        <v>1E-3</v>
      </c>
      <c r="AR128" s="9">
        <v>0</v>
      </c>
      <c r="AS128" s="9">
        <v>1E-3</v>
      </c>
      <c r="AT128" s="9">
        <v>5</v>
      </c>
      <c r="AU128" s="9">
        <v>23</v>
      </c>
      <c r="AV128" s="9" t="b">
        <v>0</v>
      </c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</row>
    <row r="129" spans="1:102" ht="16" customHeight="1" x14ac:dyDescent="0.2">
      <c r="A129" s="8" t="s">
        <v>35</v>
      </c>
      <c r="B129" s="9" t="s">
        <v>328</v>
      </c>
      <c r="C129" s="9" t="s">
        <v>254</v>
      </c>
      <c r="D129" s="9" t="s">
        <v>174</v>
      </c>
      <c r="E129" s="9" t="s">
        <v>187</v>
      </c>
      <c r="F129" s="9" t="s">
        <v>176</v>
      </c>
      <c r="G129" s="9">
        <v>0.5</v>
      </c>
      <c r="H129" s="9">
        <v>8</v>
      </c>
      <c r="I129" s="9" t="s">
        <v>177</v>
      </c>
      <c r="J129" s="9" t="s">
        <v>178</v>
      </c>
      <c r="K129" s="9" t="s">
        <v>179</v>
      </c>
      <c r="L129" s="9" t="s">
        <v>180</v>
      </c>
      <c r="M129" s="9">
        <v>161</v>
      </c>
      <c r="N129" s="9">
        <v>0.46008403361344502</v>
      </c>
      <c r="O129" s="9">
        <v>0.26593137254902</v>
      </c>
      <c r="P129" s="9">
        <v>0.26470588235294101</v>
      </c>
      <c r="Q129" s="9">
        <v>10.42</v>
      </c>
      <c r="R129" s="9">
        <v>48</v>
      </c>
      <c r="S129" s="9">
        <v>48</v>
      </c>
      <c r="T129" s="9">
        <v>163596</v>
      </c>
      <c r="U129" s="9">
        <v>96</v>
      </c>
      <c r="V129" s="9">
        <v>163692</v>
      </c>
      <c r="W129" s="9">
        <v>48</v>
      </c>
      <c r="X129" s="9">
        <v>163596</v>
      </c>
      <c r="Y129" s="9">
        <v>96</v>
      </c>
      <c r="Z129" s="9">
        <v>163692</v>
      </c>
      <c r="AA129" s="9">
        <v>610</v>
      </c>
      <c r="AB129" s="9">
        <v>610</v>
      </c>
      <c r="AC129" s="9">
        <v>0</v>
      </c>
      <c r="AD129" s="9">
        <v>0</v>
      </c>
      <c r="AE129" s="9">
        <v>1E-3</v>
      </c>
      <c r="AF129" s="9">
        <v>10.412000000000001</v>
      </c>
      <c r="AG129" s="9">
        <v>2E-3</v>
      </c>
      <c r="AH129" s="9">
        <v>2E-3</v>
      </c>
      <c r="AI129" s="9">
        <v>0.1</v>
      </c>
      <c r="AJ129" s="9">
        <v>0</v>
      </c>
      <c r="AK129" s="9">
        <v>0.1</v>
      </c>
      <c r="AL129" s="9">
        <v>0</v>
      </c>
      <c r="AM129" s="9">
        <v>0</v>
      </c>
      <c r="AN129" s="9">
        <v>10.16</v>
      </c>
      <c r="AO129" s="9">
        <v>8.9999999999999993E-3</v>
      </c>
      <c r="AP129" s="9">
        <v>1E-3</v>
      </c>
      <c r="AQ129" s="9">
        <v>1E-3</v>
      </c>
      <c r="AR129" s="9">
        <v>0</v>
      </c>
      <c r="AS129" s="9">
        <v>1E-3</v>
      </c>
      <c r="AT129" s="9">
        <v>18</v>
      </c>
      <c r="AU129" s="9">
        <v>23</v>
      </c>
      <c r="AV129" s="9" t="b">
        <v>0</v>
      </c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</row>
    <row r="130" spans="1:102" ht="16" customHeight="1" x14ac:dyDescent="0.2">
      <c r="A130" s="8" t="s">
        <v>35</v>
      </c>
      <c r="B130" s="9" t="s">
        <v>329</v>
      </c>
      <c r="C130" s="9" t="s">
        <v>254</v>
      </c>
      <c r="D130" s="9" t="s">
        <v>174</v>
      </c>
      <c r="E130" s="9" t="s">
        <v>187</v>
      </c>
      <c r="F130" s="9" t="s">
        <v>176</v>
      </c>
      <c r="G130" s="9">
        <v>0.5</v>
      </c>
      <c r="H130" s="9">
        <v>9</v>
      </c>
      <c r="I130" s="9" t="s">
        <v>177</v>
      </c>
      <c r="J130" s="9" t="s">
        <v>178</v>
      </c>
      <c r="K130" s="9" t="s">
        <v>179</v>
      </c>
      <c r="L130" s="9" t="s">
        <v>180</v>
      </c>
      <c r="M130" s="9">
        <v>121</v>
      </c>
      <c r="N130" s="9">
        <v>0.46041666666666697</v>
      </c>
      <c r="O130" s="9">
        <v>0.26838235294117602</v>
      </c>
      <c r="P130" s="9">
        <v>0.26593901593901598</v>
      </c>
      <c r="Q130" s="9">
        <v>13.45</v>
      </c>
      <c r="R130" s="9">
        <v>54</v>
      </c>
      <c r="S130" s="9">
        <v>54</v>
      </c>
      <c r="T130" s="9">
        <v>194722</v>
      </c>
      <c r="U130" s="9">
        <v>108</v>
      </c>
      <c r="V130" s="9">
        <v>194830</v>
      </c>
      <c r="W130" s="9">
        <v>54</v>
      </c>
      <c r="X130" s="9">
        <v>194722</v>
      </c>
      <c r="Y130" s="9">
        <v>108</v>
      </c>
      <c r="Z130" s="9">
        <v>194830</v>
      </c>
      <c r="AA130" s="9">
        <v>610</v>
      </c>
      <c r="AB130" s="9">
        <v>610</v>
      </c>
      <c r="AC130" s="9">
        <v>0</v>
      </c>
      <c r="AD130" s="9">
        <v>0</v>
      </c>
      <c r="AE130" s="9">
        <v>1E-3</v>
      </c>
      <c r="AF130" s="9">
        <v>13.444000000000001</v>
      </c>
      <c r="AG130" s="9">
        <v>3.0000000000000001E-3</v>
      </c>
      <c r="AH130" s="9">
        <v>3.0000000000000001E-3</v>
      </c>
      <c r="AI130" s="9">
        <v>9.8000000000000004E-2</v>
      </c>
      <c r="AJ130" s="9">
        <v>0</v>
      </c>
      <c r="AK130" s="9">
        <v>5.0000000000000001E-3</v>
      </c>
      <c r="AL130" s="9">
        <v>0</v>
      </c>
      <c r="AM130" s="9">
        <v>0</v>
      </c>
      <c r="AN130" s="9">
        <v>13.288</v>
      </c>
      <c r="AO130" s="9">
        <v>0.01</v>
      </c>
      <c r="AP130" s="9">
        <v>1E-3</v>
      </c>
      <c r="AQ130" s="9">
        <v>1E-3</v>
      </c>
      <c r="AR130" s="9">
        <v>0</v>
      </c>
      <c r="AS130" s="9">
        <v>1E-3</v>
      </c>
      <c r="AT130" s="9">
        <v>18</v>
      </c>
      <c r="AU130" s="9">
        <v>23</v>
      </c>
      <c r="AV130" s="9" t="b">
        <v>0</v>
      </c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</row>
    <row r="131" spans="1:102" s="28" customFormat="1" ht="16" customHeight="1" x14ac:dyDescent="0.2">
      <c r="A131" s="25" t="s">
        <v>35</v>
      </c>
      <c r="B131" s="26" t="s">
        <v>330</v>
      </c>
      <c r="C131" s="26" t="s">
        <v>254</v>
      </c>
      <c r="D131" s="26" t="s">
        <v>174</v>
      </c>
      <c r="E131" s="26" t="s">
        <v>187</v>
      </c>
      <c r="F131" s="26" t="s">
        <v>176</v>
      </c>
      <c r="G131" s="26">
        <v>0.5</v>
      </c>
      <c r="H131" s="26">
        <v>10</v>
      </c>
      <c r="I131" s="26" t="s">
        <v>177</v>
      </c>
      <c r="J131" s="26" t="s">
        <v>178</v>
      </c>
      <c r="K131" s="26" t="s">
        <v>179</v>
      </c>
      <c r="L131" s="26" t="s">
        <v>180</v>
      </c>
      <c r="M131" s="26">
        <v>122</v>
      </c>
      <c r="N131" s="26">
        <v>0.20901639344262299</v>
      </c>
      <c r="O131" s="26">
        <v>0.25</v>
      </c>
      <c r="P131" s="26">
        <v>0.22767857142857101</v>
      </c>
      <c r="Q131" s="26">
        <v>13.07</v>
      </c>
      <c r="R131" s="26">
        <v>61</v>
      </c>
      <c r="S131" s="26">
        <v>61</v>
      </c>
      <c r="T131" s="26">
        <v>208779</v>
      </c>
      <c r="U131" s="26">
        <v>122</v>
      </c>
      <c r="V131" s="26">
        <v>208901</v>
      </c>
      <c r="W131" s="26">
        <v>61</v>
      </c>
      <c r="X131" s="26">
        <v>208779</v>
      </c>
      <c r="Y131" s="26">
        <v>122</v>
      </c>
      <c r="Z131" s="26">
        <v>208901</v>
      </c>
      <c r="AA131" s="26">
        <v>610</v>
      </c>
      <c r="AB131" s="26">
        <v>610</v>
      </c>
      <c r="AC131" s="26">
        <v>0</v>
      </c>
      <c r="AD131" s="26">
        <v>0</v>
      </c>
      <c r="AE131" s="26">
        <v>1E-3</v>
      </c>
      <c r="AF131" s="26">
        <v>13.06</v>
      </c>
      <c r="AG131" s="26">
        <v>3.0000000000000001E-3</v>
      </c>
      <c r="AH131" s="26">
        <v>2E-3</v>
      </c>
      <c r="AI131" s="26">
        <v>0.105</v>
      </c>
      <c r="AJ131" s="26">
        <v>0</v>
      </c>
      <c r="AK131" s="26">
        <v>5.0000000000000001E-3</v>
      </c>
      <c r="AL131" s="26">
        <v>0</v>
      </c>
      <c r="AM131" s="26">
        <v>0</v>
      </c>
      <c r="AN131" s="26">
        <v>12.898</v>
      </c>
      <c r="AO131" s="26">
        <v>8.9999999999999993E-3</v>
      </c>
      <c r="AP131" s="26">
        <v>1E-3</v>
      </c>
      <c r="AQ131" s="26">
        <v>1E-3</v>
      </c>
      <c r="AR131" s="26">
        <v>0</v>
      </c>
      <c r="AS131" s="26">
        <v>0</v>
      </c>
      <c r="AT131" s="26">
        <v>14</v>
      </c>
      <c r="AU131" s="26">
        <v>21</v>
      </c>
      <c r="AV131" s="26" t="b">
        <v>0</v>
      </c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</row>
    <row r="132" spans="1:102" ht="16" customHeight="1" x14ac:dyDescent="0.2">
      <c r="A132" s="8" t="s">
        <v>35</v>
      </c>
      <c r="B132" s="9" t="s">
        <v>331</v>
      </c>
      <c r="C132" s="9" t="s">
        <v>265</v>
      </c>
      <c r="D132" s="9" t="s">
        <v>174</v>
      </c>
      <c r="E132" s="9" t="s">
        <v>175</v>
      </c>
      <c r="F132" s="9" t="s">
        <v>176</v>
      </c>
      <c r="G132" s="9">
        <v>0.5</v>
      </c>
      <c r="H132" s="9">
        <v>1</v>
      </c>
      <c r="I132" s="9" t="s">
        <v>177</v>
      </c>
      <c r="J132" s="9" t="s">
        <v>178</v>
      </c>
      <c r="K132" s="9" t="s">
        <v>179</v>
      </c>
      <c r="L132" s="9" t="s">
        <v>180</v>
      </c>
      <c r="M132" s="9">
        <v>122</v>
      </c>
      <c r="N132" s="9">
        <v>0.20901639344262299</v>
      </c>
      <c r="O132" s="9">
        <v>0.25</v>
      </c>
      <c r="P132" s="9">
        <v>0.22767857142857101</v>
      </c>
      <c r="Q132" s="9">
        <v>8.23</v>
      </c>
      <c r="R132" s="9">
        <v>15</v>
      </c>
      <c r="S132" s="9">
        <v>15</v>
      </c>
      <c r="T132" s="9">
        <v>61775</v>
      </c>
      <c r="U132" s="9">
        <v>30</v>
      </c>
      <c r="V132" s="9">
        <v>61805</v>
      </c>
      <c r="W132" s="9">
        <v>15</v>
      </c>
      <c r="X132" s="9">
        <v>61775</v>
      </c>
      <c r="Y132" s="9">
        <v>30</v>
      </c>
      <c r="Z132" s="9">
        <v>61805</v>
      </c>
      <c r="AA132" s="9">
        <v>610</v>
      </c>
      <c r="AB132" s="9">
        <v>610</v>
      </c>
      <c r="AC132" s="9">
        <v>0</v>
      </c>
      <c r="AD132" s="9">
        <v>0</v>
      </c>
      <c r="AE132" s="9">
        <v>2E-3</v>
      </c>
      <c r="AF132" s="9">
        <v>8.2279999999999998</v>
      </c>
      <c r="AG132" s="9">
        <v>2E-3</v>
      </c>
      <c r="AH132" s="9">
        <v>1E-3</v>
      </c>
      <c r="AI132" s="9">
        <v>0.129</v>
      </c>
      <c r="AJ132" s="9">
        <v>1E-3</v>
      </c>
      <c r="AK132" s="9">
        <v>5.0000000000000001E-3</v>
      </c>
      <c r="AL132" s="9">
        <v>0</v>
      </c>
      <c r="AM132" s="9">
        <v>4.0000000000000001E-3</v>
      </c>
      <c r="AN132" s="9">
        <v>8.0370000000000008</v>
      </c>
      <c r="AO132" s="9">
        <v>0.01</v>
      </c>
      <c r="AP132" s="9">
        <v>1E-3</v>
      </c>
      <c r="AQ132" s="9">
        <v>0</v>
      </c>
      <c r="AR132" s="9">
        <v>0</v>
      </c>
      <c r="AS132" s="9">
        <v>0</v>
      </c>
      <c r="AT132" s="9" t="s">
        <v>243</v>
      </c>
      <c r="AU132" s="9" t="s">
        <v>243</v>
      </c>
      <c r="AV132" s="9" t="b">
        <v>0</v>
      </c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</row>
    <row r="133" spans="1:102" ht="16" customHeight="1" x14ac:dyDescent="0.2">
      <c r="A133" s="8" t="s">
        <v>35</v>
      </c>
      <c r="B133" s="9" t="s">
        <v>332</v>
      </c>
      <c r="C133" s="9" t="s">
        <v>265</v>
      </c>
      <c r="D133" s="9" t="s">
        <v>174</v>
      </c>
      <c r="E133" s="9" t="s">
        <v>175</v>
      </c>
      <c r="F133" s="9" t="s">
        <v>176</v>
      </c>
      <c r="G133" s="9">
        <v>0.5</v>
      </c>
      <c r="H133" s="9">
        <v>2</v>
      </c>
      <c r="I133" s="9" t="s">
        <v>177</v>
      </c>
      <c r="J133" s="9" t="s">
        <v>178</v>
      </c>
      <c r="K133" s="9" t="s">
        <v>179</v>
      </c>
      <c r="L133" s="9" t="s">
        <v>180</v>
      </c>
      <c r="M133" s="9">
        <v>122</v>
      </c>
      <c r="N133" s="9">
        <v>0.20901639344262299</v>
      </c>
      <c r="O133" s="9">
        <v>0.25</v>
      </c>
      <c r="P133" s="9">
        <v>0.22767857142857101</v>
      </c>
      <c r="Q133" s="9">
        <v>6.59</v>
      </c>
      <c r="R133" s="9">
        <v>15</v>
      </c>
      <c r="S133" s="9">
        <v>15</v>
      </c>
      <c r="T133" s="9">
        <v>61775</v>
      </c>
      <c r="U133" s="9">
        <v>30</v>
      </c>
      <c r="V133" s="9">
        <v>61805</v>
      </c>
      <c r="W133" s="9">
        <v>15</v>
      </c>
      <c r="X133" s="9">
        <v>61775</v>
      </c>
      <c r="Y133" s="9">
        <v>30</v>
      </c>
      <c r="Z133" s="9">
        <v>61805</v>
      </c>
      <c r="AA133" s="9">
        <v>610</v>
      </c>
      <c r="AB133" s="9">
        <v>610</v>
      </c>
      <c r="AC133" s="9">
        <v>0</v>
      </c>
      <c r="AD133" s="9">
        <v>0</v>
      </c>
      <c r="AE133" s="9">
        <v>1E-3</v>
      </c>
      <c r="AF133" s="9">
        <v>6.5810000000000004</v>
      </c>
      <c r="AG133" s="9">
        <v>2E-3</v>
      </c>
      <c r="AH133" s="9">
        <v>1E-3</v>
      </c>
      <c r="AI133" s="9">
        <v>0.10100000000000001</v>
      </c>
      <c r="AJ133" s="9">
        <v>1E-3</v>
      </c>
      <c r="AK133" s="9">
        <v>5.0000000000000001E-3</v>
      </c>
      <c r="AL133" s="9">
        <v>0</v>
      </c>
      <c r="AM133" s="9">
        <v>5.0000000000000001E-3</v>
      </c>
      <c r="AN133" s="9">
        <v>6.42</v>
      </c>
      <c r="AO133" s="9">
        <v>8.9999999999999993E-3</v>
      </c>
      <c r="AP133" s="9">
        <v>1E-3</v>
      </c>
      <c r="AQ133" s="9">
        <v>0</v>
      </c>
      <c r="AR133" s="9">
        <v>0</v>
      </c>
      <c r="AS133" s="9">
        <v>0</v>
      </c>
      <c r="AT133" s="9" t="s">
        <v>243</v>
      </c>
      <c r="AU133" s="9" t="s">
        <v>243</v>
      </c>
      <c r="AV133" s="9" t="b">
        <v>0</v>
      </c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</row>
    <row r="134" spans="1:102" s="28" customFormat="1" ht="16" customHeight="1" x14ac:dyDescent="0.2">
      <c r="A134" s="25" t="s">
        <v>35</v>
      </c>
      <c r="B134" s="26" t="s">
        <v>333</v>
      </c>
      <c r="C134" s="26" t="s">
        <v>265</v>
      </c>
      <c r="D134" s="26" t="s">
        <v>174</v>
      </c>
      <c r="E134" s="26" t="s">
        <v>175</v>
      </c>
      <c r="F134" s="26" t="s">
        <v>176</v>
      </c>
      <c r="G134" s="26">
        <v>0.5</v>
      </c>
      <c r="H134" s="26">
        <v>3</v>
      </c>
      <c r="I134" s="26" t="s">
        <v>177</v>
      </c>
      <c r="J134" s="26" t="s">
        <v>178</v>
      </c>
      <c r="K134" s="26" t="s">
        <v>179</v>
      </c>
      <c r="L134" s="26" t="s">
        <v>180</v>
      </c>
      <c r="M134" s="26">
        <v>128</v>
      </c>
      <c r="N134" s="26">
        <v>0.295518207282913</v>
      </c>
      <c r="O134" s="26">
        <v>0.49754901960784298</v>
      </c>
      <c r="P134" s="26">
        <v>0.35350678733031698</v>
      </c>
      <c r="Q134" s="26">
        <v>4.76</v>
      </c>
      <c r="R134" s="26">
        <v>18</v>
      </c>
      <c r="S134" s="26">
        <v>18</v>
      </c>
      <c r="T134" s="26">
        <v>45304</v>
      </c>
      <c r="U134" s="26">
        <v>36</v>
      </c>
      <c r="V134" s="26">
        <v>45340</v>
      </c>
      <c r="W134" s="26">
        <v>18</v>
      </c>
      <c r="X134" s="26">
        <v>45304</v>
      </c>
      <c r="Y134" s="26">
        <v>36</v>
      </c>
      <c r="Z134" s="26">
        <v>45340</v>
      </c>
      <c r="AA134" s="26">
        <v>610</v>
      </c>
      <c r="AB134" s="26">
        <v>610</v>
      </c>
      <c r="AC134" s="26">
        <v>0</v>
      </c>
      <c r="AD134" s="26">
        <v>0</v>
      </c>
      <c r="AE134" s="26">
        <v>1E-3</v>
      </c>
      <c r="AF134" s="26">
        <v>4.7560000000000002</v>
      </c>
      <c r="AG134" s="26">
        <v>2E-3</v>
      </c>
      <c r="AH134" s="26">
        <v>1E-3</v>
      </c>
      <c r="AI134" s="26">
        <v>0.10100000000000001</v>
      </c>
      <c r="AJ134" s="26">
        <v>0</v>
      </c>
      <c r="AK134" s="26">
        <v>5.0000000000000001E-3</v>
      </c>
      <c r="AL134" s="26">
        <v>0</v>
      </c>
      <c r="AM134" s="26">
        <v>4.0000000000000001E-3</v>
      </c>
      <c r="AN134" s="26">
        <v>4.5949999999999998</v>
      </c>
      <c r="AO134" s="26">
        <v>0.01</v>
      </c>
      <c r="AP134" s="26">
        <v>1E-3</v>
      </c>
      <c r="AQ134" s="26">
        <v>0</v>
      </c>
      <c r="AR134" s="26">
        <v>0</v>
      </c>
      <c r="AS134" s="26">
        <v>0</v>
      </c>
      <c r="AT134" s="26" t="s">
        <v>243</v>
      </c>
      <c r="AU134" s="26" t="s">
        <v>243</v>
      </c>
      <c r="AV134" s="26" t="b">
        <v>0</v>
      </c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</row>
    <row r="135" spans="1:102" ht="16" customHeight="1" x14ac:dyDescent="0.2">
      <c r="A135" s="8" t="s">
        <v>35</v>
      </c>
      <c r="B135" s="9" t="s">
        <v>334</v>
      </c>
      <c r="C135" s="9" t="s">
        <v>265</v>
      </c>
      <c r="D135" s="9" t="s">
        <v>174</v>
      </c>
      <c r="E135" s="9" t="s">
        <v>175</v>
      </c>
      <c r="F135" s="9" t="s">
        <v>176</v>
      </c>
      <c r="G135" s="9">
        <v>0.5</v>
      </c>
      <c r="H135" s="9">
        <v>4</v>
      </c>
      <c r="I135" s="9" t="s">
        <v>177</v>
      </c>
      <c r="J135" s="9" t="s">
        <v>178</v>
      </c>
      <c r="K135" s="9" t="s">
        <v>179</v>
      </c>
      <c r="L135" s="9" t="s">
        <v>180</v>
      </c>
      <c r="M135" s="9">
        <v>128</v>
      </c>
      <c r="N135" s="9">
        <v>0.38064971751412402</v>
      </c>
      <c r="O135" s="9">
        <v>0.28921568627451</v>
      </c>
      <c r="P135" s="9">
        <v>0.29621212121212098</v>
      </c>
      <c r="Q135" s="9">
        <v>5.54</v>
      </c>
      <c r="R135" s="9">
        <v>24</v>
      </c>
      <c r="S135" s="9">
        <v>24</v>
      </c>
      <c r="T135" s="9">
        <v>63086</v>
      </c>
      <c r="U135" s="9">
        <v>48</v>
      </c>
      <c r="V135" s="9">
        <v>63134</v>
      </c>
      <c r="W135" s="9">
        <v>24</v>
      </c>
      <c r="X135" s="9">
        <v>63086</v>
      </c>
      <c r="Y135" s="9">
        <v>48</v>
      </c>
      <c r="Z135" s="9">
        <v>63134</v>
      </c>
      <c r="AA135" s="9">
        <v>610</v>
      </c>
      <c r="AB135" s="9">
        <v>610</v>
      </c>
      <c r="AC135" s="9">
        <v>0</v>
      </c>
      <c r="AD135" s="9">
        <v>0</v>
      </c>
      <c r="AE135" s="9">
        <v>1E-3</v>
      </c>
      <c r="AF135" s="9">
        <v>5.5380000000000003</v>
      </c>
      <c r="AG135" s="9">
        <v>2E-3</v>
      </c>
      <c r="AH135" s="9">
        <v>1E-3</v>
      </c>
      <c r="AI135" s="9">
        <v>0.1</v>
      </c>
      <c r="AJ135" s="9">
        <v>0</v>
      </c>
      <c r="AK135" s="9">
        <v>5.0000000000000001E-3</v>
      </c>
      <c r="AL135" s="9">
        <v>0</v>
      </c>
      <c r="AM135" s="9">
        <v>7.0000000000000001E-3</v>
      </c>
      <c r="AN135" s="9">
        <v>5.3760000000000003</v>
      </c>
      <c r="AO135" s="9">
        <v>8.9999999999999993E-3</v>
      </c>
      <c r="AP135" s="9">
        <v>1E-3</v>
      </c>
      <c r="AQ135" s="9">
        <v>0</v>
      </c>
      <c r="AR135" s="9">
        <v>0</v>
      </c>
      <c r="AS135" s="9">
        <v>0</v>
      </c>
      <c r="AT135" s="9" t="s">
        <v>243</v>
      </c>
      <c r="AU135" s="9" t="s">
        <v>243</v>
      </c>
      <c r="AV135" s="9" t="b">
        <v>0</v>
      </c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</row>
    <row r="136" spans="1:102" ht="16" customHeight="1" x14ac:dyDescent="0.2">
      <c r="A136" s="8" t="s">
        <v>35</v>
      </c>
      <c r="B136" s="9" t="s">
        <v>335</v>
      </c>
      <c r="C136" s="9" t="s">
        <v>265</v>
      </c>
      <c r="D136" s="9" t="s">
        <v>174</v>
      </c>
      <c r="E136" s="9" t="s">
        <v>175</v>
      </c>
      <c r="F136" s="9" t="s">
        <v>176</v>
      </c>
      <c r="G136" s="9">
        <v>0.5</v>
      </c>
      <c r="H136" s="9">
        <v>5</v>
      </c>
      <c r="I136" s="9" t="s">
        <v>177</v>
      </c>
      <c r="J136" s="9" t="s">
        <v>178</v>
      </c>
      <c r="K136" s="9" t="s">
        <v>179</v>
      </c>
      <c r="L136" s="9" t="s">
        <v>180</v>
      </c>
      <c r="M136" s="9">
        <v>124</v>
      </c>
      <c r="N136" s="9">
        <v>0.210743801652893</v>
      </c>
      <c r="O136" s="9">
        <v>0.25</v>
      </c>
      <c r="P136" s="9">
        <v>0.228699551569507</v>
      </c>
      <c r="Q136" s="9">
        <v>9.24</v>
      </c>
      <c r="R136" s="9">
        <v>30</v>
      </c>
      <c r="S136" s="9">
        <v>30</v>
      </c>
      <c r="T136" s="9">
        <v>94216</v>
      </c>
      <c r="U136" s="9">
        <v>60</v>
      </c>
      <c r="V136" s="9">
        <v>94276</v>
      </c>
      <c r="W136" s="9">
        <v>30</v>
      </c>
      <c r="X136" s="9">
        <v>94216</v>
      </c>
      <c r="Y136" s="9">
        <v>60</v>
      </c>
      <c r="Z136" s="9">
        <v>94276</v>
      </c>
      <c r="AA136" s="9">
        <v>610</v>
      </c>
      <c r="AB136" s="9">
        <v>610</v>
      </c>
      <c r="AC136" s="9">
        <v>0</v>
      </c>
      <c r="AD136" s="9">
        <v>0</v>
      </c>
      <c r="AE136" s="9">
        <v>1E-3</v>
      </c>
      <c r="AF136" s="9">
        <v>9.2309999999999999</v>
      </c>
      <c r="AG136" s="9">
        <v>2E-3</v>
      </c>
      <c r="AH136" s="9">
        <v>1E-3</v>
      </c>
      <c r="AI136" s="9">
        <v>0.10299999999999999</v>
      </c>
      <c r="AJ136" s="9">
        <v>0</v>
      </c>
      <c r="AK136" s="9">
        <v>5.0000000000000001E-3</v>
      </c>
      <c r="AL136" s="9">
        <v>0</v>
      </c>
      <c r="AM136" s="9">
        <v>7.0000000000000001E-3</v>
      </c>
      <c r="AN136" s="9">
        <v>9.0609999999999999</v>
      </c>
      <c r="AO136" s="9">
        <v>1.2E-2</v>
      </c>
      <c r="AP136" s="9">
        <v>1E-3</v>
      </c>
      <c r="AQ136" s="9">
        <v>0</v>
      </c>
      <c r="AR136" s="9">
        <v>0</v>
      </c>
      <c r="AS136" s="9">
        <v>0</v>
      </c>
      <c r="AT136" s="9" t="s">
        <v>243</v>
      </c>
      <c r="AU136" s="9" t="s">
        <v>243</v>
      </c>
      <c r="AV136" s="9" t="b">
        <v>0</v>
      </c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</row>
    <row r="137" spans="1:102" ht="16" customHeight="1" x14ac:dyDescent="0.2">
      <c r="A137" s="8" t="s">
        <v>35</v>
      </c>
      <c r="B137" s="9" t="s">
        <v>336</v>
      </c>
      <c r="C137" s="9" t="s">
        <v>265</v>
      </c>
      <c r="D137" s="9" t="s">
        <v>174</v>
      </c>
      <c r="E137" s="9" t="s">
        <v>175</v>
      </c>
      <c r="F137" s="9" t="s">
        <v>176</v>
      </c>
      <c r="G137" s="9">
        <v>0.5</v>
      </c>
      <c r="H137" s="9">
        <v>6</v>
      </c>
      <c r="I137" s="9" t="s">
        <v>177</v>
      </c>
      <c r="J137" s="9" t="s">
        <v>178</v>
      </c>
      <c r="K137" s="9" t="s">
        <v>179</v>
      </c>
      <c r="L137" s="9" t="s">
        <v>180</v>
      </c>
      <c r="M137" s="9">
        <v>122</v>
      </c>
      <c r="N137" s="9">
        <v>0.20901639344262299</v>
      </c>
      <c r="O137" s="9">
        <v>0.25</v>
      </c>
      <c r="P137" s="9">
        <v>0.22767857142857101</v>
      </c>
      <c r="Q137" s="9">
        <v>10.23</v>
      </c>
      <c r="R137" s="9">
        <v>36</v>
      </c>
      <c r="S137" s="9">
        <v>36</v>
      </c>
      <c r="T137" s="9">
        <v>128022</v>
      </c>
      <c r="U137" s="9">
        <v>72</v>
      </c>
      <c r="V137" s="9">
        <v>128094</v>
      </c>
      <c r="W137" s="9">
        <v>36</v>
      </c>
      <c r="X137" s="9">
        <v>128022</v>
      </c>
      <c r="Y137" s="9">
        <v>72</v>
      </c>
      <c r="Z137" s="9">
        <v>128094</v>
      </c>
      <c r="AA137" s="9">
        <v>610</v>
      </c>
      <c r="AB137" s="9">
        <v>610</v>
      </c>
      <c r="AC137" s="9">
        <v>0</v>
      </c>
      <c r="AD137" s="9">
        <v>0</v>
      </c>
      <c r="AE137" s="9">
        <v>1E-3</v>
      </c>
      <c r="AF137" s="9">
        <v>10.227</v>
      </c>
      <c r="AG137" s="9">
        <v>3.0000000000000001E-3</v>
      </c>
      <c r="AH137" s="9">
        <v>1E-3</v>
      </c>
      <c r="AI137" s="9">
        <v>9.5000000000000001E-2</v>
      </c>
      <c r="AJ137" s="9">
        <v>0</v>
      </c>
      <c r="AK137" s="9">
        <v>5.0000000000000001E-3</v>
      </c>
      <c r="AL137" s="9">
        <v>0</v>
      </c>
      <c r="AM137" s="9">
        <v>0.01</v>
      </c>
      <c r="AN137" s="9">
        <v>10.069000000000001</v>
      </c>
      <c r="AO137" s="9">
        <v>8.0000000000000002E-3</v>
      </c>
      <c r="AP137" s="9">
        <v>1E-3</v>
      </c>
      <c r="AQ137" s="9">
        <v>0</v>
      </c>
      <c r="AR137" s="9">
        <v>0</v>
      </c>
      <c r="AS137" s="9">
        <v>0</v>
      </c>
      <c r="AT137" s="9" t="s">
        <v>243</v>
      </c>
      <c r="AU137" s="9" t="s">
        <v>243</v>
      </c>
      <c r="AV137" s="9" t="b">
        <v>0</v>
      </c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</row>
    <row r="138" spans="1:102" ht="16" customHeight="1" x14ac:dyDescent="0.2">
      <c r="A138" s="8" t="s">
        <v>35</v>
      </c>
      <c r="B138" s="9" t="s">
        <v>337</v>
      </c>
      <c r="C138" s="9" t="s">
        <v>265</v>
      </c>
      <c r="D138" s="9" t="s">
        <v>174</v>
      </c>
      <c r="E138" s="9" t="s">
        <v>175</v>
      </c>
      <c r="F138" s="9" t="s">
        <v>176</v>
      </c>
      <c r="G138" s="9">
        <v>0.5</v>
      </c>
      <c r="H138" s="9">
        <v>7</v>
      </c>
      <c r="I138" s="9" t="s">
        <v>177</v>
      </c>
      <c r="J138" s="9" t="s">
        <v>178</v>
      </c>
      <c r="K138" s="9" t="s">
        <v>179</v>
      </c>
      <c r="L138" s="9" t="s">
        <v>180</v>
      </c>
      <c r="M138" s="9">
        <v>122</v>
      </c>
      <c r="N138" s="9">
        <v>0.20901639344262299</v>
      </c>
      <c r="O138" s="9">
        <v>0.25</v>
      </c>
      <c r="P138" s="9">
        <v>0.22767857142857101</v>
      </c>
      <c r="Q138" s="9">
        <v>12.59</v>
      </c>
      <c r="R138" s="9">
        <v>42</v>
      </c>
      <c r="S138" s="9">
        <v>42</v>
      </c>
      <c r="T138" s="9">
        <v>159156</v>
      </c>
      <c r="U138" s="9">
        <v>84</v>
      </c>
      <c r="V138" s="9">
        <v>159240</v>
      </c>
      <c r="W138" s="9">
        <v>42</v>
      </c>
      <c r="X138" s="9">
        <v>159156</v>
      </c>
      <c r="Y138" s="9">
        <v>84</v>
      </c>
      <c r="Z138" s="9">
        <v>159240</v>
      </c>
      <c r="AA138" s="9">
        <v>610</v>
      </c>
      <c r="AB138" s="9">
        <v>610</v>
      </c>
      <c r="AC138" s="9">
        <v>0</v>
      </c>
      <c r="AD138" s="9">
        <v>0</v>
      </c>
      <c r="AE138" s="9">
        <v>1E-3</v>
      </c>
      <c r="AF138" s="9">
        <v>12.587999999999999</v>
      </c>
      <c r="AG138" s="9">
        <v>2E-3</v>
      </c>
      <c r="AH138" s="9">
        <v>1E-3</v>
      </c>
      <c r="AI138" s="9">
        <v>9.7000000000000003E-2</v>
      </c>
      <c r="AJ138" s="9">
        <v>0</v>
      </c>
      <c r="AK138" s="9">
        <v>5.0000000000000001E-3</v>
      </c>
      <c r="AL138" s="9">
        <v>0</v>
      </c>
      <c r="AM138" s="9">
        <v>1.0999999999999999E-2</v>
      </c>
      <c r="AN138" s="9">
        <v>12.427</v>
      </c>
      <c r="AO138" s="9">
        <v>8.9999999999999993E-3</v>
      </c>
      <c r="AP138" s="9">
        <v>1E-3</v>
      </c>
      <c r="AQ138" s="9">
        <v>0</v>
      </c>
      <c r="AR138" s="9">
        <v>0</v>
      </c>
      <c r="AS138" s="9">
        <v>0</v>
      </c>
      <c r="AT138" s="9" t="s">
        <v>243</v>
      </c>
      <c r="AU138" s="9" t="s">
        <v>243</v>
      </c>
      <c r="AV138" s="9" t="b">
        <v>0</v>
      </c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</row>
    <row r="139" spans="1:102" ht="16" customHeight="1" x14ac:dyDescent="0.2">
      <c r="A139" s="8" t="s">
        <v>35</v>
      </c>
      <c r="B139" s="9" t="s">
        <v>338</v>
      </c>
      <c r="C139" s="9" t="s">
        <v>265</v>
      </c>
      <c r="D139" s="9" t="s">
        <v>174</v>
      </c>
      <c r="E139" s="9" t="s">
        <v>175</v>
      </c>
      <c r="F139" s="9" t="s">
        <v>176</v>
      </c>
      <c r="G139" s="9">
        <v>0.5</v>
      </c>
      <c r="H139" s="9">
        <v>8</v>
      </c>
      <c r="I139" s="9" t="s">
        <v>177</v>
      </c>
      <c r="J139" s="9" t="s">
        <v>178</v>
      </c>
      <c r="K139" s="9" t="s">
        <v>179</v>
      </c>
      <c r="L139" s="9" t="s">
        <v>180</v>
      </c>
      <c r="M139" s="9">
        <v>122</v>
      </c>
      <c r="N139" s="9">
        <v>0.20901639344262299</v>
      </c>
      <c r="O139" s="9">
        <v>0.25</v>
      </c>
      <c r="P139" s="9">
        <v>0.22767857142857101</v>
      </c>
      <c r="Q139" s="9">
        <v>13.37</v>
      </c>
      <c r="R139" s="9">
        <v>48</v>
      </c>
      <c r="S139" s="9">
        <v>48</v>
      </c>
      <c r="T139" s="9">
        <v>174272</v>
      </c>
      <c r="U139" s="9">
        <v>96</v>
      </c>
      <c r="V139" s="9">
        <v>174368</v>
      </c>
      <c r="W139" s="9">
        <v>48</v>
      </c>
      <c r="X139" s="9">
        <v>174272</v>
      </c>
      <c r="Y139" s="9">
        <v>96</v>
      </c>
      <c r="Z139" s="9">
        <v>174368</v>
      </c>
      <c r="AA139" s="9">
        <v>610</v>
      </c>
      <c r="AB139" s="9">
        <v>610</v>
      </c>
      <c r="AC139" s="9">
        <v>0</v>
      </c>
      <c r="AD139" s="9">
        <v>0</v>
      </c>
      <c r="AE139" s="9">
        <v>1E-3</v>
      </c>
      <c r="AF139" s="9">
        <v>13.361000000000001</v>
      </c>
      <c r="AG139" s="9">
        <v>2E-3</v>
      </c>
      <c r="AH139" s="9">
        <v>1E-3</v>
      </c>
      <c r="AI139" s="9">
        <v>9.7000000000000003E-2</v>
      </c>
      <c r="AJ139" s="9">
        <v>0</v>
      </c>
      <c r="AK139" s="9">
        <v>5.0000000000000001E-3</v>
      </c>
      <c r="AL139" s="9">
        <v>0</v>
      </c>
      <c r="AM139" s="9">
        <v>1.4E-2</v>
      </c>
      <c r="AN139" s="9">
        <v>13.196</v>
      </c>
      <c r="AO139" s="9">
        <v>8.9999999999999993E-3</v>
      </c>
      <c r="AP139" s="9">
        <v>1E-3</v>
      </c>
      <c r="AQ139" s="9">
        <v>0</v>
      </c>
      <c r="AR139" s="9">
        <v>0</v>
      </c>
      <c r="AS139" s="9">
        <v>0</v>
      </c>
      <c r="AT139" s="9" t="s">
        <v>243</v>
      </c>
      <c r="AU139" s="9" t="s">
        <v>243</v>
      </c>
      <c r="AV139" s="9" t="b">
        <v>0</v>
      </c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</row>
    <row r="140" spans="1:102" ht="16" customHeight="1" x14ac:dyDescent="0.2">
      <c r="A140" s="8" t="s">
        <v>35</v>
      </c>
      <c r="B140" s="9" t="s">
        <v>339</v>
      </c>
      <c r="C140" s="9" t="s">
        <v>265</v>
      </c>
      <c r="D140" s="9" t="s">
        <v>174</v>
      </c>
      <c r="E140" s="9" t="s">
        <v>175</v>
      </c>
      <c r="F140" s="9" t="s">
        <v>176</v>
      </c>
      <c r="G140" s="9">
        <v>0.5</v>
      </c>
      <c r="H140" s="9">
        <v>9</v>
      </c>
      <c r="I140" s="9" t="s">
        <v>177</v>
      </c>
      <c r="J140" s="9" t="s">
        <v>178</v>
      </c>
      <c r="K140" s="9" t="s">
        <v>179</v>
      </c>
      <c r="L140" s="9" t="s">
        <v>180</v>
      </c>
      <c r="M140" s="9">
        <v>122</v>
      </c>
      <c r="N140" s="9">
        <v>0.20901639344262299</v>
      </c>
      <c r="O140" s="9">
        <v>0.25</v>
      </c>
      <c r="P140" s="9">
        <v>0.22767857142857101</v>
      </c>
      <c r="Q140" s="9">
        <v>13.43</v>
      </c>
      <c r="R140" s="9">
        <v>54</v>
      </c>
      <c r="S140" s="9">
        <v>54</v>
      </c>
      <c r="T140" s="9">
        <v>186678</v>
      </c>
      <c r="U140" s="9">
        <v>108</v>
      </c>
      <c r="V140" s="9">
        <v>186786</v>
      </c>
      <c r="W140" s="9">
        <v>54</v>
      </c>
      <c r="X140" s="9">
        <v>186678</v>
      </c>
      <c r="Y140" s="9">
        <v>108</v>
      </c>
      <c r="Z140" s="9">
        <v>186786</v>
      </c>
      <c r="AA140" s="9">
        <v>610</v>
      </c>
      <c r="AB140" s="9">
        <v>610</v>
      </c>
      <c r="AC140" s="9">
        <v>0</v>
      </c>
      <c r="AD140" s="9">
        <v>0</v>
      </c>
      <c r="AE140" s="9">
        <v>1E-3</v>
      </c>
      <c r="AF140" s="9">
        <v>13.427</v>
      </c>
      <c r="AG140" s="9">
        <v>3.0000000000000001E-3</v>
      </c>
      <c r="AH140" s="9">
        <v>1E-3</v>
      </c>
      <c r="AI140" s="9">
        <v>9.8000000000000004E-2</v>
      </c>
      <c r="AJ140" s="9">
        <v>1E-3</v>
      </c>
      <c r="AK140" s="9">
        <v>7.0000000000000001E-3</v>
      </c>
      <c r="AL140" s="9">
        <v>0</v>
      </c>
      <c r="AM140" s="9">
        <v>1.4E-2</v>
      </c>
      <c r="AN140" s="9">
        <v>13.257</v>
      </c>
      <c r="AO140" s="9">
        <v>8.9999999999999993E-3</v>
      </c>
      <c r="AP140" s="9">
        <v>1E-3</v>
      </c>
      <c r="AQ140" s="9">
        <v>0</v>
      </c>
      <c r="AR140" s="9">
        <v>0</v>
      </c>
      <c r="AS140" s="9">
        <v>0</v>
      </c>
      <c r="AT140" s="9" t="s">
        <v>243</v>
      </c>
      <c r="AU140" s="9" t="s">
        <v>243</v>
      </c>
      <c r="AV140" s="9" t="b">
        <v>0</v>
      </c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</row>
    <row r="141" spans="1:102" ht="16" customHeight="1" x14ac:dyDescent="0.2">
      <c r="A141" s="8" t="s">
        <v>35</v>
      </c>
      <c r="B141" s="9" t="s">
        <v>340</v>
      </c>
      <c r="C141" s="9" t="s">
        <v>265</v>
      </c>
      <c r="D141" s="9" t="s">
        <v>174</v>
      </c>
      <c r="E141" s="9" t="s">
        <v>175</v>
      </c>
      <c r="F141" s="9" t="s">
        <v>176</v>
      </c>
      <c r="G141" s="9">
        <v>0.5</v>
      </c>
      <c r="H141" s="9">
        <v>10</v>
      </c>
      <c r="I141" s="9" t="s">
        <v>177</v>
      </c>
      <c r="J141" s="9" t="s">
        <v>178</v>
      </c>
      <c r="K141" s="9" t="s">
        <v>179</v>
      </c>
      <c r="L141" s="9" t="s">
        <v>180</v>
      </c>
      <c r="M141" s="9">
        <v>122</v>
      </c>
      <c r="N141" s="9">
        <v>0.20901639344262299</v>
      </c>
      <c r="O141" s="9">
        <v>0.25</v>
      </c>
      <c r="P141" s="9">
        <v>0.22767857142857101</v>
      </c>
      <c r="Q141" s="9">
        <v>17.32</v>
      </c>
      <c r="R141" s="9">
        <v>61</v>
      </c>
      <c r="S141" s="9">
        <v>61</v>
      </c>
      <c r="T141" s="9">
        <v>222121</v>
      </c>
      <c r="U141" s="9">
        <v>122</v>
      </c>
      <c r="V141" s="9">
        <v>222243</v>
      </c>
      <c r="W141" s="9">
        <v>61</v>
      </c>
      <c r="X141" s="9">
        <v>222121</v>
      </c>
      <c r="Y141" s="9">
        <v>122</v>
      </c>
      <c r="Z141" s="9">
        <v>222243</v>
      </c>
      <c r="AA141" s="9">
        <v>610</v>
      </c>
      <c r="AB141" s="9">
        <v>610</v>
      </c>
      <c r="AC141" s="9">
        <v>0</v>
      </c>
      <c r="AD141" s="9">
        <v>0</v>
      </c>
      <c r="AE141" s="9">
        <v>1E-3</v>
      </c>
      <c r="AF141" s="9">
        <v>17.317</v>
      </c>
      <c r="AG141" s="9">
        <v>2E-3</v>
      </c>
      <c r="AH141" s="9">
        <v>1E-3</v>
      </c>
      <c r="AI141" s="9">
        <v>9.5000000000000001E-2</v>
      </c>
      <c r="AJ141" s="9">
        <v>0</v>
      </c>
      <c r="AK141" s="9">
        <v>4.0000000000000001E-3</v>
      </c>
      <c r="AL141" s="9">
        <v>0</v>
      </c>
      <c r="AM141" s="9">
        <v>1.4999999999999999E-2</v>
      </c>
      <c r="AN141" s="9">
        <v>17.146999999999998</v>
      </c>
      <c r="AO141" s="9">
        <v>0.01</v>
      </c>
      <c r="AP141" s="9">
        <v>1E-3</v>
      </c>
      <c r="AQ141" s="9">
        <v>0</v>
      </c>
      <c r="AR141" s="9">
        <v>0</v>
      </c>
      <c r="AS141" s="9">
        <v>0</v>
      </c>
      <c r="AT141" s="9" t="s">
        <v>243</v>
      </c>
      <c r="AU141" s="9" t="s">
        <v>243</v>
      </c>
      <c r="AV141" s="9" t="b">
        <v>0</v>
      </c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</row>
    <row r="142" spans="1:102" ht="16" customHeight="1" x14ac:dyDescent="0.2">
      <c r="A142" s="8" t="s">
        <v>35</v>
      </c>
      <c r="B142" s="9" t="s">
        <v>341</v>
      </c>
      <c r="C142" s="9" t="s">
        <v>276</v>
      </c>
      <c r="D142" s="9" t="s">
        <v>174</v>
      </c>
      <c r="E142" s="9" t="s">
        <v>175</v>
      </c>
      <c r="F142" s="9" t="s">
        <v>176</v>
      </c>
      <c r="G142" s="9">
        <v>0.5</v>
      </c>
      <c r="H142" s="9">
        <v>1</v>
      </c>
      <c r="I142" s="9" t="s">
        <v>177</v>
      </c>
      <c r="J142" s="9" t="s">
        <v>178</v>
      </c>
      <c r="K142" s="9" t="s">
        <v>179</v>
      </c>
      <c r="L142" s="9" t="s">
        <v>180</v>
      </c>
      <c r="M142" s="9">
        <v>122</v>
      </c>
      <c r="N142" s="9">
        <v>0.20901639344262299</v>
      </c>
      <c r="O142" s="9">
        <v>0.25</v>
      </c>
      <c r="P142" s="9">
        <v>0.22767857142857101</v>
      </c>
      <c r="Q142" s="9">
        <v>3.14</v>
      </c>
      <c r="R142" s="9">
        <v>10</v>
      </c>
      <c r="S142" s="9">
        <v>10</v>
      </c>
      <c r="T142" s="9">
        <v>40306</v>
      </c>
      <c r="U142" s="9">
        <v>20</v>
      </c>
      <c r="V142" s="9">
        <v>40326</v>
      </c>
      <c r="W142" s="9">
        <v>10</v>
      </c>
      <c r="X142" s="9">
        <v>40306</v>
      </c>
      <c r="Y142" s="9">
        <v>20</v>
      </c>
      <c r="Z142" s="9">
        <v>40326</v>
      </c>
      <c r="AA142" s="9">
        <v>610</v>
      </c>
      <c r="AB142" s="9">
        <v>610</v>
      </c>
      <c r="AC142" s="9">
        <v>0</v>
      </c>
      <c r="AD142" s="9">
        <v>0</v>
      </c>
      <c r="AE142" s="9">
        <v>1E-3</v>
      </c>
      <c r="AF142" s="9">
        <v>3.133</v>
      </c>
      <c r="AG142" s="9">
        <v>2E-3</v>
      </c>
      <c r="AH142" s="9">
        <v>1E-3</v>
      </c>
      <c r="AI142" s="9">
        <v>9.1999999999999998E-2</v>
      </c>
      <c r="AJ142" s="9">
        <v>0</v>
      </c>
      <c r="AK142" s="9">
        <v>5.0000000000000001E-3</v>
      </c>
      <c r="AL142" s="9">
        <v>0</v>
      </c>
      <c r="AM142" s="9">
        <v>0</v>
      </c>
      <c r="AN142" s="9">
        <v>2.9860000000000002</v>
      </c>
      <c r="AO142" s="9">
        <v>0.01</v>
      </c>
      <c r="AP142" s="9">
        <v>1E-3</v>
      </c>
      <c r="AQ142" s="9">
        <v>0</v>
      </c>
      <c r="AR142" s="9">
        <v>0</v>
      </c>
      <c r="AS142" s="9">
        <v>0</v>
      </c>
      <c r="AT142" s="9" t="s">
        <v>243</v>
      </c>
      <c r="AU142" s="9" t="s">
        <v>243</v>
      </c>
      <c r="AV142" s="9" t="b">
        <v>0</v>
      </c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</row>
    <row r="143" spans="1:102" ht="16" customHeight="1" x14ac:dyDescent="0.2">
      <c r="A143" s="8" t="s">
        <v>35</v>
      </c>
      <c r="B143" s="9" t="s">
        <v>342</v>
      </c>
      <c r="C143" s="9" t="s">
        <v>276</v>
      </c>
      <c r="D143" s="9" t="s">
        <v>174</v>
      </c>
      <c r="E143" s="9" t="s">
        <v>175</v>
      </c>
      <c r="F143" s="9" t="s">
        <v>176</v>
      </c>
      <c r="G143" s="9">
        <v>0.5</v>
      </c>
      <c r="H143" s="9">
        <v>2</v>
      </c>
      <c r="I143" s="9" t="s">
        <v>177</v>
      </c>
      <c r="J143" s="9" t="s">
        <v>178</v>
      </c>
      <c r="K143" s="9" t="s">
        <v>179</v>
      </c>
      <c r="L143" s="9" t="s">
        <v>180</v>
      </c>
      <c r="M143" s="9">
        <v>135</v>
      </c>
      <c r="N143" s="9">
        <v>0.29454022988505701</v>
      </c>
      <c r="O143" s="9">
        <v>0.28186274509803899</v>
      </c>
      <c r="P143" s="9">
        <v>0.28032619775738998</v>
      </c>
      <c r="Q143" s="9">
        <v>3.24</v>
      </c>
      <c r="R143" s="9">
        <v>12</v>
      </c>
      <c r="S143" s="9">
        <v>12</v>
      </c>
      <c r="T143" s="9">
        <v>48914</v>
      </c>
      <c r="U143" s="9">
        <v>24</v>
      </c>
      <c r="V143" s="9">
        <v>48938</v>
      </c>
      <c r="W143" s="9">
        <v>12</v>
      </c>
      <c r="X143" s="9">
        <v>48914</v>
      </c>
      <c r="Y143" s="9">
        <v>24</v>
      </c>
      <c r="Z143" s="9">
        <v>48938</v>
      </c>
      <c r="AA143" s="9">
        <v>610</v>
      </c>
      <c r="AB143" s="9">
        <v>610</v>
      </c>
      <c r="AC143" s="9">
        <v>0</v>
      </c>
      <c r="AD143" s="9">
        <v>0</v>
      </c>
      <c r="AE143" s="9">
        <v>1E-3</v>
      </c>
      <c r="AF143" s="9">
        <v>3.238</v>
      </c>
      <c r="AG143" s="9">
        <v>2E-3</v>
      </c>
      <c r="AH143" s="9">
        <v>1E-3</v>
      </c>
      <c r="AI143" s="9">
        <v>9.0999999999999998E-2</v>
      </c>
      <c r="AJ143" s="9">
        <v>0</v>
      </c>
      <c r="AK143" s="9">
        <v>5.0000000000000001E-3</v>
      </c>
      <c r="AL143" s="9">
        <v>0</v>
      </c>
      <c r="AM143" s="9">
        <v>0</v>
      </c>
      <c r="AN143" s="9">
        <v>3.089</v>
      </c>
      <c r="AO143" s="9">
        <v>8.9999999999999993E-3</v>
      </c>
      <c r="AP143" s="9">
        <v>1E-3</v>
      </c>
      <c r="AQ143" s="9">
        <v>0</v>
      </c>
      <c r="AR143" s="9">
        <v>0</v>
      </c>
      <c r="AS143" s="9">
        <v>0</v>
      </c>
      <c r="AT143" s="9" t="s">
        <v>243</v>
      </c>
      <c r="AU143" s="9" t="s">
        <v>243</v>
      </c>
      <c r="AV143" s="9" t="b">
        <v>0</v>
      </c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</row>
    <row r="144" spans="1:102" s="28" customFormat="1" ht="16" customHeight="1" x14ac:dyDescent="0.2">
      <c r="A144" s="25" t="s">
        <v>35</v>
      </c>
      <c r="B144" s="26" t="s">
        <v>343</v>
      </c>
      <c r="C144" s="26" t="s">
        <v>276</v>
      </c>
      <c r="D144" s="26" t="s">
        <v>174</v>
      </c>
      <c r="E144" s="26" t="s">
        <v>175</v>
      </c>
      <c r="F144" s="26" t="s">
        <v>176</v>
      </c>
      <c r="G144" s="26">
        <v>0.5</v>
      </c>
      <c r="H144" s="26">
        <v>3</v>
      </c>
      <c r="I144" s="26" t="s">
        <v>177</v>
      </c>
      <c r="J144" s="26" t="s">
        <v>178</v>
      </c>
      <c r="K144" s="26" t="s">
        <v>179</v>
      </c>
      <c r="L144" s="26" t="s">
        <v>180</v>
      </c>
      <c r="M144" s="26">
        <v>18</v>
      </c>
      <c r="N144" s="26">
        <v>0.203703703703704</v>
      </c>
      <c r="O144" s="26">
        <v>0.21568627450980399</v>
      </c>
      <c r="P144" s="26">
        <v>0.20952380952381</v>
      </c>
      <c r="Q144" s="26">
        <v>4.25</v>
      </c>
      <c r="R144" s="26">
        <v>18</v>
      </c>
      <c r="S144" s="26">
        <v>18</v>
      </c>
      <c r="T144" s="26">
        <v>64030</v>
      </c>
      <c r="U144" s="26">
        <v>36</v>
      </c>
      <c r="V144" s="26">
        <v>64066</v>
      </c>
      <c r="W144" s="26">
        <v>18</v>
      </c>
      <c r="X144" s="26">
        <v>64030</v>
      </c>
      <c r="Y144" s="26">
        <v>36</v>
      </c>
      <c r="Z144" s="26">
        <v>64066</v>
      </c>
      <c r="AA144" s="26">
        <v>610</v>
      </c>
      <c r="AB144" s="26">
        <v>610</v>
      </c>
      <c r="AC144" s="26">
        <v>0</v>
      </c>
      <c r="AD144" s="26">
        <v>0</v>
      </c>
      <c r="AE144" s="26">
        <v>1E-3</v>
      </c>
      <c r="AF144" s="26">
        <v>4.2469999999999999</v>
      </c>
      <c r="AG144" s="26">
        <v>2E-3</v>
      </c>
      <c r="AH144" s="26">
        <v>1E-3</v>
      </c>
      <c r="AI144" s="26">
        <v>0.13100000000000001</v>
      </c>
      <c r="AJ144" s="26">
        <v>0</v>
      </c>
      <c r="AK144" s="26">
        <v>5.0000000000000001E-3</v>
      </c>
      <c r="AL144" s="26">
        <v>0</v>
      </c>
      <c r="AM144" s="26">
        <v>0</v>
      </c>
      <c r="AN144" s="26">
        <v>4.0609999999999999</v>
      </c>
      <c r="AO144" s="26">
        <v>0.01</v>
      </c>
      <c r="AP144" s="26">
        <v>1E-3</v>
      </c>
      <c r="AQ144" s="26">
        <v>0</v>
      </c>
      <c r="AR144" s="26">
        <v>0</v>
      </c>
      <c r="AS144" s="26">
        <v>0</v>
      </c>
      <c r="AT144" s="26" t="s">
        <v>243</v>
      </c>
      <c r="AU144" s="26" t="s">
        <v>243</v>
      </c>
      <c r="AV144" s="26" t="b">
        <v>0</v>
      </c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</row>
    <row r="145" spans="1:102" ht="16" customHeight="1" x14ac:dyDescent="0.2">
      <c r="A145" s="8" t="s">
        <v>35</v>
      </c>
      <c r="B145" s="9" t="s">
        <v>344</v>
      </c>
      <c r="C145" s="9" t="s">
        <v>276</v>
      </c>
      <c r="D145" s="9" t="s">
        <v>174</v>
      </c>
      <c r="E145" s="9" t="s">
        <v>175</v>
      </c>
      <c r="F145" s="9" t="s">
        <v>176</v>
      </c>
      <c r="G145" s="9">
        <v>0.5</v>
      </c>
      <c r="H145" s="9">
        <v>4</v>
      </c>
      <c r="I145" s="9" t="s">
        <v>177</v>
      </c>
      <c r="J145" s="9" t="s">
        <v>178</v>
      </c>
      <c r="K145" s="9" t="s">
        <v>179</v>
      </c>
      <c r="L145" s="9" t="s">
        <v>180</v>
      </c>
      <c r="M145" s="9">
        <v>124</v>
      </c>
      <c r="N145" s="9">
        <v>0.33541666666666697</v>
      </c>
      <c r="O145" s="9">
        <v>0.26838235294117602</v>
      </c>
      <c r="P145" s="9">
        <v>0.26319176319176302</v>
      </c>
      <c r="Q145" s="9">
        <v>5.2</v>
      </c>
      <c r="R145" s="9">
        <v>24</v>
      </c>
      <c r="S145" s="9">
        <v>24</v>
      </c>
      <c r="T145" s="9">
        <v>84452</v>
      </c>
      <c r="U145" s="9">
        <v>48</v>
      </c>
      <c r="V145" s="9">
        <v>84500</v>
      </c>
      <c r="W145" s="9">
        <v>24</v>
      </c>
      <c r="X145" s="9">
        <v>84452</v>
      </c>
      <c r="Y145" s="9">
        <v>48</v>
      </c>
      <c r="Z145" s="9">
        <v>84500</v>
      </c>
      <c r="AA145" s="9">
        <v>610</v>
      </c>
      <c r="AB145" s="9">
        <v>610</v>
      </c>
      <c r="AC145" s="9">
        <v>0</v>
      </c>
      <c r="AD145" s="9">
        <v>0</v>
      </c>
      <c r="AE145" s="9">
        <v>1E-3</v>
      </c>
      <c r="AF145" s="9">
        <v>5.1929999999999996</v>
      </c>
      <c r="AG145" s="9">
        <v>2E-3</v>
      </c>
      <c r="AH145" s="9">
        <v>1E-3</v>
      </c>
      <c r="AI145" s="9">
        <v>9.1999999999999998E-2</v>
      </c>
      <c r="AJ145" s="9">
        <v>0</v>
      </c>
      <c r="AK145" s="9">
        <v>5.0000000000000001E-3</v>
      </c>
      <c r="AL145" s="9">
        <v>0</v>
      </c>
      <c r="AM145" s="9">
        <v>0</v>
      </c>
      <c r="AN145" s="9">
        <v>5.048</v>
      </c>
      <c r="AO145" s="9">
        <v>8.9999999999999993E-3</v>
      </c>
      <c r="AP145" s="9">
        <v>1E-3</v>
      </c>
      <c r="AQ145" s="9">
        <v>0</v>
      </c>
      <c r="AR145" s="9">
        <v>0</v>
      </c>
      <c r="AS145" s="9">
        <v>0</v>
      </c>
      <c r="AT145" s="9" t="s">
        <v>243</v>
      </c>
      <c r="AU145" s="9" t="s">
        <v>243</v>
      </c>
      <c r="AV145" s="9" t="b">
        <v>0</v>
      </c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</row>
    <row r="146" spans="1:102" ht="16" customHeight="1" x14ac:dyDescent="0.2">
      <c r="A146" s="8" t="s">
        <v>35</v>
      </c>
      <c r="B146" s="9" t="s">
        <v>345</v>
      </c>
      <c r="C146" s="9" t="s">
        <v>276</v>
      </c>
      <c r="D146" s="9" t="s">
        <v>174</v>
      </c>
      <c r="E146" s="9" t="s">
        <v>175</v>
      </c>
      <c r="F146" s="9" t="s">
        <v>176</v>
      </c>
      <c r="G146" s="9">
        <v>0.5</v>
      </c>
      <c r="H146" s="9">
        <v>5</v>
      </c>
      <c r="I146" s="9" t="s">
        <v>177</v>
      </c>
      <c r="J146" s="9" t="s">
        <v>178</v>
      </c>
      <c r="K146" s="9" t="s">
        <v>179</v>
      </c>
      <c r="L146" s="9" t="s">
        <v>180</v>
      </c>
      <c r="M146" s="9">
        <v>140</v>
      </c>
      <c r="N146" s="9">
        <v>0.211363636363636</v>
      </c>
      <c r="O146" s="9">
        <v>0.22794117647058801</v>
      </c>
      <c r="P146" s="9">
        <v>0.219339622641509</v>
      </c>
      <c r="Q146" s="9">
        <v>8.33</v>
      </c>
      <c r="R146" s="9">
        <v>30</v>
      </c>
      <c r="S146" s="9">
        <v>30</v>
      </c>
      <c r="T146" s="9">
        <v>115596</v>
      </c>
      <c r="U146" s="9">
        <v>60</v>
      </c>
      <c r="V146" s="9">
        <v>115656</v>
      </c>
      <c r="W146" s="9">
        <v>30</v>
      </c>
      <c r="X146" s="9">
        <v>115596</v>
      </c>
      <c r="Y146" s="9">
        <v>60</v>
      </c>
      <c r="Z146" s="9">
        <v>115656</v>
      </c>
      <c r="AA146" s="9">
        <v>610</v>
      </c>
      <c r="AB146" s="9">
        <v>610</v>
      </c>
      <c r="AC146" s="9">
        <v>0</v>
      </c>
      <c r="AD146" s="9">
        <v>0</v>
      </c>
      <c r="AE146" s="9">
        <v>1E-3</v>
      </c>
      <c r="AF146" s="9">
        <v>8.3260000000000005</v>
      </c>
      <c r="AG146" s="9">
        <v>2E-3</v>
      </c>
      <c r="AH146" s="9">
        <v>1E-3</v>
      </c>
      <c r="AI146" s="9">
        <v>9.5000000000000001E-2</v>
      </c>
      <c r="AJ146" s="9">
        <v>0</v>
      </c>
      <c r="AK146" s="9">
        <v>5.0000000000000001E-3</v>
      </c>
      <c r="AL146" s="9">
        <v>0</v>
      </c>
      <c r="AM146" s="9">
        <v>0</v>
      </c>
      <c r="AN146" s="9">
        <v>8.1780000000000008</v>
      </c>
      <c r="AO146" s="9">
        <v>8.9999999999999993E-3</v>
      </c>
      <c r="AP146" s="9">
        <v>1E-3</v>
      </c>
      <c r="AQ146" s="9">
        <v>0</v>
      </c>
      <c r="AR146" s="9">
        <v>0</v>
      </c>
      <c r="AS146" s="9">
        <v>0</v>
      </c>
      <c r="AT146" s="9" t="s">
        <v>243</v>
      </c>
      <c r="AU146" s="9" t="s">
        <v>243</v>
      </c>
      <c r="AV146" s="9" t="b">
        <v>0</v>
      </c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</row>
    <row r="147" spans="1:102" ht="16" customHeight="1" x14ac:dyDescent="0.2">
      <c r="A147" s="8" t="s">
        <v>35</v>
      </c>
      <c r="B147" s="9" t="s">
        <v>346</v>
      </c>
      <c r="C147" s="9" t="s">
        <v>276</v>
      </c>
      <c r="D147" s="9" t="s">
        <v>174</v>
      </c>
      <c r="E147" s="9" t="s">
        <v>175</v>
      </c>
      <c r="F147" s="9" t="s">
        <v>176</v>
      </c>
      <c r="G147" s="9">
        <v>0.5</v>
      </c>
      <c r="H147" s="9">
        <v>6</v>
      </c>
      <c r="I147" s="9" t="s">
        <v>177</v>
      </c>
      <c r="J147" s="9" t="s">
        <v>178</v>
      </c>
      <c r="K147" s="9" t="s">
        <v>179</v>
      </c>
      <c r="L147" s="9" t="s">
        <v>180</v>
      </c>
      <c r="M147" s="9">
        <v>123</v>
      </c>
      <c r="N147" s="9">
        <v>0.208677685950413</v>
      </c>
      <c r="O147" s="9">
        <v>0.24754901960784301</v>
      </c>
      <c r="P147" s="9">
        <v>0.226457399103139</v>
      </c>
      <c r="Q147" s="9">
        <v>8.35</v>
      </c>
      <c r="R147" s="9">
        <v>36</v>
      </c>
      <c r="S147" s="9">
        <v>36</v>
      </c>
      <c r="T147" s="9">
        <v>136026</v>
      </c>
      <c r="U147" s="9">
        <v>72</v>
      </c>
      <c r="V147" s="9">
        <v>136098</v>
      </c>
      <c r="W147" s="9">
        <v>36</v>
      </c>
      <c r="X147" s="9">
        <v>136026</v>
      </c>
      <c r="Y147" s="9">
        <v>72</v>
      </c>
      <c r="Z147" s="9">
        <v>136098</v>
      </c>
      <c r="AA147" s="9">
        <v>610</v>
      </c>
      <c r="AB147" s="9">
        <v>610</v>
      </c>
      <c r="AC147" s="9">
        <v>0</v>
      </c>
      <c r="AD147" s="9">
        <v>0</v>
      </c>
      <c r="AE147" s="9">
        <v>1E-3</v>
      </c>
      <c r="AF147" s="9">
        <v>8.3439999999999994</v>
      </c>
      <c r="AG147" s="9">
        <v>2E-3</v>
      </c>
      <c r="AH147" s="9">
        <v>1E-3</v>
      </c>
      <c r="AI147" s="9">
        <v>9.1999999999999998E-2</v>
      </c>
      <c r="AJ147" s="9">
        <v>0</v>
      </c>
      <c r="AK147" s="9">
        <v>5.0000000000000001E-3</v>
      </c>
      <c r="AL147" s="9">
        <v>0</v>
      </c>
      <c r="AM147" s="9">
        <v>0</v>
      </c>
      <c r="AN147" s="9">
        <v>8.1969999999999992</v>
      </c>
      <c r="AO147" s="9">
        <v>8.9999999999999993E-3</v>
      </c>
      <c r="AP147" s="9">
        <v>1E-3</v>
      </c>
      <c r="AQ147" s="9">
        <v>0</v>
      </c>
      <c r="AR147" s="9">
        <v>0</v>
      </c>
      <c r="AS147" s="9">
        <v>0</v>
      </c>
      <c r="AT147" s="9" t="s">
        <v>243</v>
      </c>
      <c r="AU147" s="9" t="s">
        <v>243</v>
      </c>
      <c r="AV147" s="9" t="b">
        <v>0</v>
      </c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</row>
    <row r="148" spans="1:102" ht="16" customHeight="1" x14ac:dyDescent="0.2">
      <c r="A148" s="8" t="s">
        <v>35</v>
      </c>
      <c r="B148" s="9" t="s">
        <v>347</v>
      </c>
      <c r="C148" s="9" t="s">
        <v>276</v>
      </c>
      <c r="D148" s="9" t="s">
        <v>174</v>
      </c>
      <c r="E148" s="9" t="s">
        <v>175</v>
      </c>
      <c r="F148" s="9" t="s">
        <v>176</v>
      </c>
      <c r="G148" s="9">
        <v>0.5</v>
      </c>
      <c r="H148" s="9">
        <v>7</v>
      </c>
      <c r="I148" s="9" t="s">
        <v>177</v>
      </c>
      <c r="J148" s="9" t="s">
        <v>178</v>
      </c>
      <c r="K148" s="9" t="s">
        <v>179</v>
      </c>
      <c r="L148" s="9" t="s">
        <v>180</v>
      </c>
      <c r="M148" s="9">
        <v>122</v>
      </c>
      <c r="N148" s="9">
        <v>0.20901639344262299</v>
      </c>
      <c r="O148" s="9">
        <v>0.25</v>
      </c>
      <c r="P148" s="9">
        <v>0.22767857142857101</v>
      </c>
      <c r="Q148" s="9">
        <v>9.89</v>
      </c>
      <c r="R148" s="9">
        <v>42</v>
      </c>
      <c r="S148" s="9">
        <v>42</v>
      </c>
      <c r="T148" s="9">
        <v>145786</v>
      </c>
      <c r="U148" s="9">
        <v>84</v>
      </c>
      <c r="V148" s="9">
        <v>145870</v>
      </c>
      <c r="W148" s="9">
        <v>42</v>
      </c>
      <c r="X148" s="9">
        <v>145786</v>
      </c>
      <c r="Y148" s="9">
        <v>84</v>
      </c>
      <c r="Z148" s="9">
        <v>145870</v>
      </c>
      <c r="AA148" s="9">
        <v>610</v>
      </c>
      <c r="AB148" s="9">
        <v>610</v>
      </c>
      <c r="AC148" s="9">
        <v>0</v>
      </c>
      <c r="AD148" s="9">
        <v>0</v>
      </c>
      <c r="AE148" s="9">
        <v>1E-3</v>
      </c>
      <c r="AF148" s="9">
        <v>9.8870000000000005</v>
      </c>
      <c r="AG148" s="9">
        <v>3.0000000000000001E-3</v>
      </c>
      <c r="AH148" s="9">
        <v>1E-3</v>
      </c>
      <c r="AI148" s="9">
        <v>0.104</v>
      </c>
      <c r="AJ148" s="9">
        <v>0</v>
      </c>
      <c r="AK148" s="9">
        <v>5.0000000000000001E-3</v>
      </c>
      <c r="AL148" s="9">
        <v>0</v>
      </c>
      <c r="AM148" s="9">
        <v>0</v>
      </c>
      <c r="AN148" s="9">
        <v>9.7289999999999992</v>
      </c>
      <c r="AO148" s="9">
        <v>8.9999999999999993E-3</v>
      </c>
      <c r="AP148" s="9">
        <v>1E-3</v>
      </c>
      <c r="AQ148" s="9">
        <v>0</v>
      </c>
      <c r="AR148" s="9">
        <v>0</v>
      </c>
      <c r="AS148" s="9">
        <v>0</v>
      </c>
      <c r="AT148" s="9" t="s">
        <v>243</v>
      </c>
      <c r="AU148" s="9" t="s">
        <v>243</v>
      </c>
      <c r="AV148" s="9" t="b">
        <v>0</v>
      </c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</row>
    <row r="149" spans="1:102" ht="16" customHeight="1" x14ac:dyDescent="0.2">
      <c r="A149" s="8" t="s">
        <v>35</v>
      </c>
      <c r="B149" s="9" t="s">
        <v>348</v>
      </c>
      <c r="C149" s="9" t="s">
        <v>276</v>
      </c>
      <c r="D149" s="9" t="s">
        <v>174</v>
      </c>
      <c r="E149" s="9" t="s">
        <v>175</v>
      </c>
      <c r="F149" s="9" t="s">
        <v>176</v>
      </c>
      <c r="G149" s="9">
        <v>0.5</v>
      </c>
      <c r="H149" s="9">
        <v>8</v>
      </c>
      <c r="I149" s="9" t="s">
        <v>177</v>
      </c>
      <c r="J149" s="9" t="s">
        <v>178</v>
      </c>
      <c r="K149" s="9" t="s">
        <v>179</v>
      </c>
      <c r="L149" s="9" t="s">
        <v>180</v>
      </c>
      <c r="M149" s="9">
        <v>183</v>
      </c>
      <c r="N149" s="9">
        <v>0.208677685950413</v>
      </c>
      <c r="O149" s="9">
        <v>0.24754901960784301</v>
      </c>
      <c r="P149" s="9">
        <v>0.226457399103139</v>
      </c>
      <c r="Q149" s="9">
        <v>10.220000000000001</v>
      </c>
      <c r="R149" s="9">
        <v>48</v>
      </c>
      <c r="S149" s="9">
        <v>48</v>
      </c>
      <c r="T149" s="9">
        <v>163596</v>
      </c>
      <c r="U149" s="9">
        <v>96</v>
      </c>
      <c r="V149" s="9">
        <v>163692</v>
      </c>
      <c r="W149" s="9">
        <v>48</v>
      </c>
      <c r="X149" s="9">
        <v>163596</v>
      </c>
      <c r="Y149" s="9">
        <v>96</v>
      </c>
      <c r="Z149" s="9">
        <v>163692</v>
      </c>
      <c r="AA149" s="9">
        <v>610</v>
      </c>
      <c r="AB149" s="9">
        <v>610</v>
      </c>
      <c r="AC149" s="9">
        <v>0</v>
      </c>
      <c r="AD149" s="9">
        <v>0</v>
      </c>
      <c r="AE149" s="9">
        <v>1E-3</v>
      </c>
      <c r="AF149" s="9">
        <v>10.214</v>
      </c>
      <c r="AG149" s="9">
        <v>3.0000000000000001E-3</v>
      </c>
      <c r="AH149" s="9">
        <v>2E-3</v>
      </c>
      <c r="AI149" s="9">
        <v>0.10299999999999999</v>
      </c>
      <c r="AJ149" s="9">
        <v>0</v>
      </c>
      <c r="AK149" s="9">
        <v>5.0000000000000001E-3</v>
      </c>
      <c r="AL149" s="9">
        <v>0</v>
      </c>
      <c r="AM149" s="9">
        <v>0</v>
      </c>
      <c r="AN149" s="9">
        <v>10.057</v>
      </c>
      <c r="AO149" s="9">
        <v>8.9999999999999993E-3</v>
      </c>
      <c r="AP149" s="9">
        <v>2E-3</v>
      </c>
      <c r="AQ149" s="9">
        <v>0</v>
      </c>
      <c r="AR149" s="9">
        <v>0</v>
      </c>
      <c r="AS149" s="9">
        <v>0</v>
      </c>
      <c r="AT149" s="9" t="s">
        <v>243</v>
      </c>
      <c r="AU149" s="9" t="s">
        <v>243</v>
      </c>
      <c r="AV149" s="9" t="b">
        <v>0</v>
      </c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</row>
    <row r="150" spans="1:102" ht="16" customHeight="1" x14ac:dyDescent="0.2">
      <c r="A150" s="8" t="s">
        <v>35</v>
      </c>
      <c r="B150" s="9" t="s">
        <v>349</v>
      </c>
      <c r="C150" s="9" t="s">
        <v>276</v>
      </c>
      <c r="D150" s="9" t="s">
        <v>174</v>
      </c>
      <c r="E150" s="9" t="s">
        <v>175</v>
      </c>
      <c r="F150" s="9" t="s">
        <v>176</v>
      </c>
      <c r="G150" s="9">
        <v>0.5</v>
      </c>
      <c r="H150" s="9">
        <v>9</v>
      </c>
      <c r="I150" s="9" t="s">
        <v>177</v>
      </c>
      <c r="J150" s="9" t="s">
        <v>178</v>
      </c>
      <c r="K150" s="9" t="s">
        <v>179</v>
      </c>
      <c r="L150" s="9" t="s">
        <v>180</v>
      </c>
      <c r="M150" s="9">
        <v>130</v>
      </c>
      <c r="N150" s="9">
        <v>0.208677685950413</v>
      </c>
      <c r="O150" s="9">
        <v>0.24754901960784301</v>
      </c>
      <c r="P150" s="9">
        <v>0.226457399103139</v>
      </c>
      <c r="Q150" s="9">
        <v>12.32</v>
      </c>
      <c r="R150" s="9">
        <v>54</v>
      </c>
      <c r="S150" s="9">
        <v>54</v>
      </c>
      <c r="T150" s="9">
        <v>194722</v>
      </c>
      <c r="U150" s="9">
        <v>108</v>
      </c>
      <c r="V150" s="9">
        <v>194830</v>
      </c>
      <c r="W150" s="9">
        <v>54</v>
      </c>
      <c r="X150" s="9">
        <v>194722</v>
      </c>
      <c r="Y150" s="9">
        <v>108</v>
      </c>
      <c r="Z150" s="9">
        <v>194830</v>
      </c>
      <c r="AA150" s="9">
        <v>610</v>
      </c>
      <c r="AB150" s="9">
        <v>610</v>
      </c>
      <c r="AC150" s="9">
        <v>0</v>
      </c>
      <c r="AD150" s="9">
        <v>0</v>
      </c>
      <c r="AE150" s="9">
        <v>1E-3</v>
      </c>
      <c r="AF150" s="9">
        <v>12.316000000000001</v>
      </c>
      <c r="AG150" s="9">
        <v>2E-3</v>
      </c>
      <c r="AH150" s="9">
        <v>1E-3</v>
      </c>
      <c r="AI150" s="9">
        <v>9.1999999999999998E-2</v>
      </c>
      <c r="AJ150" s="9">
        <v>0</v>
      </c>
      <c r="AK150" s="9">
        <v>5.0000000000000001E-3</v>
      </c>
      <c r="AL150" s="9">
        <v>0</v>
      </c>
      <c r="AM150" s="9">
        <v>0</v>
      </c>
      <c r="AN150" s="9">
        <v>12.17</v>
      </c>
      <c r="AO150" s="9">
        <v>8.9999999999999993E-3</v>
      </c>
      <c r="AP150" s="9">
        <v>1E-3</v>
      </c>
      <c r="AQ150" s="9">
        <v>0</v>
      </c>
      <c r="AR150" s="9">
        <v>0</v>
      </c>
      <c r="AS150" s="9">
        <v>0</v>
      </c>
      <c r="AT150" s="9" t="s">
        <v>243</v>
      </c>
      <c r="AU150" s="9" t="s">
        <v>243</v>
      </c>
      <c r="AV150" s="9" t="b">
        <v>0</v>
      </c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</row>
    <row r="151" spans="1:102" ht="16" customHeight="1" x14ac:dyDescent="0.2">
      <c r="A151" s="8" t="s">
        <v>35</v>
      </c>
      <c r="B151" s="9" t="s">
        <v>350</v>
      </c>
      <c r="C151" s="9" t="s">
        <v>276</v>
      </c>
      <c r="D151" s="9" t="s">
        <v>174</v>
      </c>
      <c r="E151" s="9" t="s">
        <v>175</v>
      </c>
      <c r="F151" s="9" t="s">
        <v>176</v>
      </c>
      <c r="G151" s="9">
        <v>0.5</v>
      </c>
      <c r="H151" s="9">
        <v>10</v>
      </c>
      <c r="I151" s="9" t="s">
        <v>177</v>
      </c>
      <c r="J151" s="9" t="s">
        <v>178</v>
      </c>
      <c r="K151" s="9" t="s">
        <v>179</v>
      </c>
      <c r="L151" s="9" t="s">
        <v>180</v>
      </c>
      <c r="M151" s="9">
        <v>122</v>
      </c>
      <c r="N151" s="9">
        <v>0.20901639344262299</v>
      </c>
      <c r="O151" s="9">
        <v>0.25</v>
      </c>
      <c r="P151" s="9">
        <v>0.22767857142857101</v>
      </c>
      <c r="Q151" s="9">
        <v>13.91</v>
      </c>
      <c r="R151" s="9">
        <v>61</v>
      </c>
      <c r="S151" s="9">
        <v>61</v>
      </c>
      <c r="T151" s="9">
        <v>208779</v>
      </c>
      <c r="U151" s="9">
        <v>122</v>
      </c>
      <c r="V151" s="9">
        <v>208901</v>
      </c>
      <c r="W151" s="9">
        <v>61</v>
      </c>
      <c r="X151" s="9">
        <v>208779</v>
      </c>
      <c r="Y151" s="9">
        <v>122</v>
      </c>
      <c r="Z151" s="9">
        <v>208901</v>
      </c>
      <c r="AA151" s="9">
        <v>610</v>
      </c>
      <c r="AB151" s="9">
        <v>610</v>
      </c>
      <c r="AC151" s="9">
        <v>0</v>
      </c>
      <c r="AD151" s="9">
        <v>0</v>
      </c>
      <c r="AE151" s="9">
        <v>1E-3</v>
      </c>
      <c r="AF151" s="9">
        <v>13.904999999999999</v>
      </c>
      <c r="AG151" s="9">
        <v>2E-3</v>
      </c>
      <c r="AH151" s="9">
        <v>1E-3</v>
      </c>
      <c r="AI151" s="9">
        <v>9.5000000000000001E-2</v>
      </c>
      <c r="AJ151" s="9">
        <v>0</v>
      </c>
      <c r="AK151" s="9">
        <v>5.0000000000000001E-3</v>
      </c>
      <c r="AL151" s="9">
        <v>0</v>
      </c>
      <c r="AM151" s="9">
        <v>0</v>
      </c>
      <c r="AN151" s="9">
        <v>13.754</v>
      </c>
      <c r="AO151" s="9">
        <v>0.01</v>
      </c>
      <c r="AP151" s="9">
        <v>1E-3</v>
      </c>
      <c r="AQ151" s="9">
        <v>0</v>
      </c>
      <c r="AR151" s="9">
        <v>0</v>
      </c>
      <c r="AS151" s="9">
        <v>0</v>
      </c>
      <c r="AT151" s="9" t="s">
        <v>243</v>
      </c>
      <c r="AU151" s="9" t="s">
        <v>243</v>
      </c>
      <c r="AV151" s="9" t="b">
        <v>0</v>
      </c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</row>
    <row r="152" spans="1:102" s="28" customFormat="1" ht="16" customHeight="1" x14ac:dyDescent="0.2">
      <c r="A152" s="25" t="s">
        <v>35</v>
      </c>
      <c r="B152" s="26" t="s">
        <v>185</v>
      </c>
      <c r="C152" s="26" t="s">
        <v>186</v>
      </c>
      <c r="D152" s="26" t="s">
        <v>186</v>
      </c>
      <c r="E152" s="26" t="s">
        <v>187</v>
      </c>
      <c r="F152" s="26" t="s">
        <v>176</v>
      </c>
      <c r="G152" s="26">
        <v>0.5</v>
      </c>
      <c r="H152" s="26">
        <v>100</v>
      </c>
      <c r="I152" s="26" t="s">
        <v>188</v>
      </c>
      <c r="J152" s="26" t="s">
        <v>188</v>
      </c>
      <c r="K152" s="26" t="s">
        <v>179</v>
      </c>
      <c r="L152" s="26" t="s">
        <v>180</v>
      </c>
      <c r="M152" s="26">
        <v>159</v>
      </c>
      <c r="N152" s="26">
        <v>0.65505382775119603</v>
      </c>
      <c r="O152" s="26">
        <v>0.64180672268907601</v>
      </c>
      <c r="P152" s="26">
        <v>0.63082908885115996</v>
      </c>
      <c r="Q152" s="26">
        <v>128.69999999999999</v>
      </c>
      <c r="R152" s="26">
        <v>61</v>
      </c>
      <c r="S152" s="26">
        <v>610</v>
      </c>
      <c r="T152" s="26">
        <v>2155838</v>
      </c>
      <c r="U152" s="26">
        <v>1220</v>
      </c>
      <c r="V152" s="26">
        <v>2157058</v>
      </c>
      <c r="W152" s="26">
        <v>0</v>
      </c>
      <c r="X152" s="26">
        <v>0</v>
      </c>
      <c r="Y152" s="26">
        <v>0</v>
      </c>
      <c r="Z152" s="26">
        <v>0</v>
      </c>
      <c r="AA152" s="26">
        <v>610</v>
      </c>
      <c r="AB152" s="26">
        <v>610</v>
      </c>
      <c r="AC152" s="26">
        <v>0</v>
      </c>
      <c r="AD152" s="26">
        <v>0</v>
      </c>
      <c r="AE152" s="26">
        <v>1E-3</v>
      </c>
      <c r="AF152" s="26">
        <v>128.69800000000001</v>
      </c>
      <c r="AG152" s="26">
        <v>2E-3</v>
      </c>
      <c r="AH152" s="26">
        <v>1E-3</v>
      </c>
      <c r="AI152" s="26">
        <v>9.5000000000000001E-2</v>
      </c>
      <c r="AJ152" s="26">
        <v>0</v>
      </c>
      <c r="AK152" s="26">
        <v>5.0000000000000001E-3</v>
      </c>
      <c r="AL152" s="26">
        <v>0</v>
      </c>
      <c r="AM152" s="26">
        <v>0</v>
      </c>
      <c r="AN152" s="26">
        <v>13.754</v>
      </c>
      <c r="AO152" s="26">
        <v>0.01</v>
      </c>
      <c r="AP152" s="26">
        <v>1E-3</v>
      </c>
      <c r="AQ152" s="26">
        <v>0</v>
      </c>
      <c r="AR152" s="26">
        <v>0</v>
      </c>
      <c r="AS152" s="26">
        <v>0</v>
      </c>
      <c r="AT152" s="26" t="s">
        <v>243</v>
      </c>
      <c r="AU152" s="26" t="s">
        <v>243</v>
      </c>
      <c r="AV152" s="26" t="b">
        <v>0</v>
      </c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</row>
    <row r="156" spans="1:102" x14ac:dyDescent="0.2">
      <c r="A156" s="8" t="s">
        <v>0</v>
      </c>
      <c r="B156" s="8" t="s">
        <v>71</v>
      </c>
      <c r="C156" s="8" t="s">
        <v>72</v>
      </c>
      <c r="D156" s="8" t="s">
        <v>73</v>
      </c>
      <c r="E156" s="8" t="s">
        <v>74</v>
      </c>
      <c r="F156" s="8" t="s">
        <v>75</v>
      </c>
      <c r="G156" s="8" t="s">
        <v>76</v>
      </c>
      <c r="H156" s="8" t="s">
        <v>77</v>
      </c>
      <c r="I156" s="8" t="s">
        <v>78</v>
      </c>
      <c r="J156" s="8" t="s">
        <v>79</v>
      </c>
      <c r="K156" s="8" t="s">
        <v>80</v>
      </c>
      <c r="L156" s="8" t="s">
        <v>81</v>
      </c>
      <c r="M156" s="8" t="s">
        <v>82</v>
      </c>
      <c r="N156" s="8" t="s">
        <v>83</v>
      </c>
      <c r="O156" s="8" t="s">
        <v>84</v>
      </c>
      <c r="P156" s="8" t="s">
        <v>85</v>
      </c>
      <c r="Q156" s="8" t="s">
        <v>86</v>
      </c>
      <c r="R156" s="8" t="s">
        <v>87</v>
      </c>
      <c r="S156" s="8" t="s">
        <v>88</v>
      </c>
      <c r="T156" s="8" t="s">
        <v>89</v>
      </c>
      <c r="U156" s="8" t="s">
        <v>90</v>
      </c>
      <c r="V156" s="8" t="s">
        <v>91</v>
      </c>
      <c r="W156" s="8" t="s">
        <v>92</v>
      </c>
      <c r="X156" s="8" t="s">
        <v>93</v>
      </c>
      <c r="Y156" s="8" t="s">
        <v>94</v>
      </c>
      <c r="Z156" s="8" t="s">
        <v>95</v>
      </c>
      <c r="AA156" s="8" t="s">
        <v>96</v>
      </c>
      <c r="AB156" s="8" t="s">
        <v>97</v>
      </c>
      <c r="AC156" s="8" t="s">
        <v>98</v>
      </c>
      <c r="AD156" s="8" t="s">
        <v>99</v>
      </c>
      <c r="AE156" s="8" t="s">
        <v>100</v>
      </c>
      <c r="AF156" s="8" t="s">
        <v>101</v>
      </c>
      <c r="AG156" s="8" t="s">
        <v>102</v>
      </c>
      <c r="AH156" s="8" t="s">
        <v>103</v>
      </c>
      <c r="AI156" s="8" t="s">
        <v>104</v>
      </c>
      <c r="AJ156" s="8" t="s">
        <v>105</v>
      </c>
      <c r="AK156" s="8" t="s">
        <v>106</v>
      </c>
      <c r="AL156" s="8" t="s">
        <v>107</v>
      </c>
      <c r="AM156" s="8" t="s">
        <v>108</v>
      </c>
      <c r="AN156" s="8" t="s">
        <v>109</v>
      </c>
      <c r="AO156" s="8" t="s">
        <v>110</v>
      </c>
      <c r="AP156" s="8" t="s">
        <v>111</v>
      </c>
      <c r="AQ156" s="8" t="s">
        <v>112</v>
      </c>
      <c r="AR156" s="8" t="s">
        <v>113</v>
      </c>
      <c r="AS156" s="8" t="s">
        <v>114</v>
      </c>
      <c r="AT156" s="8" t="s">
        <v>115</v>
      </c>
      <c r="AU156" s="8" t="s">
        <v>116</v>
      </c>
      <c r="AV156" s="8" t="s">
        <v>117</v>
      </c>
      <c r="AW156" s="8" t="s">
        <v>118</v>
      </c>
      <c r="AX156" s="8" t="s">
        <v>119</v>
      </c>
      <c r="AY156" s="8" t="s">
        <v>120</v>
      </c>
      <c r="AZ156" s="8" t="s">
        <v>121</v>
      </c>
      <c r="BA156" s="8" t="s">
        <v>122</v>
      </c>
      <c r="BB156" s="8" t="s">
        <v>123</v>
      </c>
      <c r="BC156" s="8" t="s">
        <v>124</v>
      </c>
      <c r="BD156" s="8" t="s">
        <v>125</v>
      </c>
      <c r="BE156" s="8" t="s">
        <v>126</v>
      </c>
      <c r="BF156" s="8" t="s">
        <v>127</v>
      </c>
      <c r="BG156" s="8" t="s">
        <v>128</v>
      </c>
      <c r="BH156" s="8" t="s">
        <v>129</v>
      </c>
      <c r="BI156" s="8" t="s">
        <v>130</v>
      </c>
      <c r="BJ156" s="8" t="s">
        <v>131</v>
      </c>
      <c r="BK156" s="8" t="s">
        <v>132</v>
      </c>
      <c r="BL156" s="8" t="s">
        <v>133</v>
      </c>
      <c r="BM156" s="8" t="s">
        <v>134</v>
      </c>
      <c r="BN156" s="8" t="s">
        <v>135</v>
      </c>
      <c r="BO156" s="8" t="s">
        <v>136</v>
      </c>
      <c r="BP156" s="8" t="s">
        <v>137</v>
      </c>
      <c r="BQ156" s="8" t="s">
        <v>138</v>
      </c>
      <c r="BR156" s="8" t="s">
        <v>139</v>
      </c>
      <c r="BS156" s="8" t="s">
        <v>140</v>
      </c>
      <c r="BT156" s="8" t="s">
        <v>141</v>
      </c>
      <c r="BU156" s="8" t="s">
        <v>142</v>
      </c>
      <c r="BV156" s="8" t="s">
        <v>143</v>
      </c>
      <c r="BW156" s="8" t="s">
        <v>144</v>
      </c>
      <c r="BX156" s="8" t="s">
        <v>145</v>
      </c>
      <c r="BY156" s="8" t="s">
        <v>146</v>
      </c>
      <c r="BZ156" s="8" t="s">
        <v>147</v>
      </c>
      <c r="CA156" s="8" t="s">
        <v>148</v>
      </c>
      <c r="CB156" s="8" t="s">
        <v>149</v>
      </c>
      <c r="CC156" s="8" t="s">
        <v>150</v>
      </c>
      <c r="CD156" s="8" t="s">
        <v>151</v>
      </c>
      <c r="CE156" s="8" t="s">
        <v>152</v>
      </c>
      <c r="CF156" s="8" t="s">
        <v>153</v>
      </c>
      <c r="CG156" s="8" t="s">
        <v>154</v>
      </c>
      <c r="CH156" s="8" t="s">
        <v>155</v>
      </c>
      <c r="CI156" s="8" t="s">
        <v>156</v>
      </c>
      <c r="CJ156" s="8" t="s">
        <v>157</v>
      </c>
      <c r="CK156" s="8" t="s">
        <v>158</v>
      </c>
      <c r="CL156" s="8" t="s">
        <v>159</v>
      </c>
      <c r="CM156" s="8" t="s">
        <v>160</v>
      </c>
      <c r="CN156" s="8" t="s">
        <v>161</v>
      </c>
      <c r="CO156" s="8" t="s">
        <v>162</v>
      </c>
      <c r="CP156" s="8" t="s">
        <v>163</v>
      </c>
      <c r="CQ156" s="8" t="s">
        <v>164</v>
      </c>
      <c r="CR156" s="8" t="s">
        <v>165</v>
      </c>
      <c r="CS156" s="8" t="s">
        <v>166</v>
      </c>
      <c r="CT156" s="8" t="s">
        <v>167</v>
      </c>
      <c r="CU156" s="8" t="s">
        <v>168</v>
      </c>
      <c r="CV156" s="8" t="s">
        <v>169</v>
      </c>
      <c r="CW156" s="8" t="s">
        <v>170</v>
      </c>
      <c r="CX156" s="8" t="s">
        <v>171</v>
      </c>
    </row>
    <row r="157" spans="1:102" ht="16" customHeight="1" x14ac:dyDescent="0.2">
      <c r="A157" s="8" t="s">
        <v>44</v>
      </c>
      <c r="B157" s="9" t="s">
        <v>351</v>
      </c>
      <c r="C157" s="9" t="s">
        <v>173</v>
      </c>
      <c r="D157" s="9" t="s">
        <v>174</v>
      </c>
      <c r="E157" s="9" t="s">
        <v>175</v>
      </c>
      <c r="F157" s="9" t="s">
        <v>176</v>
      </c>
      <c r="G157" s="9">
        <v>0.5</v>
      </c>
      <c r="H157" s="9">
        <v>1</v>
      </c>
      <c r="I157" s="9" t="s">
        <v>177</v>
      </c>
      <c r="J157" s="9" t="s">
        <v>178</v>
      </c>
      <c r="K157" s="9" t="s">
        <v>179</v>
      </c>
      <c r="L157" s="9" t="s">
        <v>180</v>
      </c>
      <c r="M157" s="9">
        <v>16391</v>
      </c>
      <c r="N157" s="9">
        <v>0.51491819056785404</v>
      </c>
      <c r="O157" s="9">
        <v>0.26511397423191302</v>
      </c>
      <c r="P157" s="9">
        <v>0.35001635590448199</v>
      </c>
      <c r="Q157" s="9">
        <v>6.29</v>
      </c>
      <c r="R157" s="9">
        <v>655</v>
      </c>
      <c r="S157" s="9">
        <v>655</v>
      </c>
      <c r="T157" s="9">
        <v>109846</v>
      </c>
      <c r="U157" s="9">
        <v>7932</v>
      </c>
      <c r="V157" s="9">
        <v>117778</v>
      </c>
      <c r="W157" s="9">
        <v>30</v>
      </c>
      <c r="X157" s="9">
        <v>109846</v>
      </c>
      <c r="Y157" s="9">
        <v>7932</v>
      </c>
      <c r="Z157" s="9">
        <v>117778</v>
      </c>
      <c r="AA157" s="9">
        <v>65280</v>
      </c>
      <c r="AB157" s="9">
        <v>65280</v>
      </c>
      <c r="AC157" s="9">
        <v>0</v>
      </c>
      <c r="AD157" s="9">
        <v>0</v>
      </c>
      <c r="AE157" s="9">
        <v>0.14099999999999999</v>
      </c>
      <c r="AF157" s="9">
        <v>5.8479999999999999</v>
      </c>
      <c r="AG157" s="9">
        <v>6.0000000000000001E-3</v>
      </c>
      <c r="AH157" s="9">
        <v>0.29499999999999998</v>
      </c>
      <c r="AI157" s="9">
        <v>0.36499999999999999</v>
      </c>
      <c r="AJ157" s="9">
        <v>1.4E-2</v>
      </c>
      <c r="AK157" s="9">
        <v>0.26500000000000001</v>
      </c>
      <c r="AL157" s="9">
        <v>2.4E-2</v>
      </c>
      <c r="AM157" s="9">
        <v>0.46800000000000003</v>
      </c>
      <c r="AN157" s="9">
        <v>4.1619999999999999</v>
      </c>
      <c r="AO157" s="9">
        <v>9.0999999999999998E-2</v>
      </c>
      <c r="AP157" s="9">
        <v>0.106</v>
      </c>
      <c r="AQ157" s="9">
        <v>9.4E-2</v>
      </c>
      <c r="AR157" s="9">
        <v>3.4000000000000002E-2</v>
      </c>
      <c r="AS157" s="9">
        <v>6.0999999999999999E-2</v>
      </c>
      <c r="AT157" s="9">
        <v>7</v>
      </c>
      <c r="AU157" s="9">
        <v>13</v>
      </c>
      <c r="AV157" s="9" t="b">
        <v>0</v>
      </c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</row>
    <row r="158" spans="1:102" ht="16" customHeight="1" x14ac:dyDescent="0.2">
      <c r="A158" s="8" t="s">
        <v>44</v>
      </c>
      <c r="B158" s="9" t="s">
        <v>352</v>
      </c>
      <c r="C158" s="9" t="s">
        <v>173</v>
      </c>
      <c r="D158" s="9" t="s">
        <v>174</v>
      </c>
      <c r="E158" s="9" t="s">
        <v>175</v>
      </c>
      <c r="F158" s="9" t="s">
        <v>176</v>
      </c>
      <c r="G158" s="9">
        <v>0.5</v>
      </c>
      <c r="H158" s="9">
        <v>2</v>
      </c>
      <c r="I158" s="9" t="s">
        <v>177</v>
      </c>
      <c r="J158" s="9" t="s">
        <v>178</v>
      </c>
      <c r="K158" s="9" t="s">
        <v>179</v>
      </c>
      <c r="L158" s="9" t="s">
        <v>180</v>
      </c>
      <c r="M158" s="9">
        <v>14778</v>
      </c>
      <c r="N158" s="9">
        <v>0.56163655685441005</v>
      </c>
      <c r="O158" s="9">
        <v>0.26189296333002998</v>
      </c>
      <c r="P158" s="9">
        <v>0.35721527543088899</v>
      </c>
      <c r="Q158" s="9">
        <v>7.17</v>
      </c>
      <c r="R158" s="9">
        <v>1310</v>
      </c>
      <c r="S158" s="9">
        <v>1310</v>
      </c>
      <c r="T158" s="9">
        <v>225859</v>
      </c>
      <c r="U158" s="9">
        <v>14296</v>
      </c>
      <c r="V158" s="9">
        <v>240155</v>
      </c>
      <c r="W158" s="9">
        <v>50</v>
      </c>
      <c r="X158" s="9">
        <v>225859</v>
      </c>
      <c r="Y158" s="9">
        <v>14296</v>
      </c>
      <c r="Z158" s="9">
        <v>240155</v>
      </c>
      <c r="AA158" s="9">
        <v>65280</v>
      </c>
      <c r="AB158" s="9">
        <v>65280</v>
      </c>
      <c r="AC158" s="9">
        <v>0</v>
      </c>
      <c r="AD158" s="9">
        <v>0</v>
      </c>
      <c r="AE158" s="9">
        <v>0.13600000000000001</v>
      </c>
      <c r="AF158" s="9">
        <v>6.774</v>
      </c>
      <c r="AG158" s="9">
        <v>8.0000000000000002E-3</v>
      </c>
      <c r="AH158" s="9">
        <v>0.251</v>
      </c>
      <c r="AI158" s="9">
        <v>0.126</v>
      </c>
      <c r="AJ158" s="9">
        <v>1.0999999999999999E-2</v>
      </c>
      <c r="AK158" s="9">
        <v>0.26700000000000002</v>
      </c>
      <c r="AL158" s="9">
        <v>2.1000000000000001E-2</v>
      </c>
      <c r="AM158" s="9">
        <v>0.47</v>
      </c>
      <c r="AN158" s="9">
        <v>5.6349999999999998</v>
      </c>
      <c r="AO158" s="9">
        <v>7.1999999999999995E-2</v>
      </c>
      <c r="AP158" s="9">
        <v>9.7000000000000003E-2</v>
      </c>
      <c r="AQ158" s="9">
        <v>7.6999999999999999E-2</v>
      </c>
      <c r="AR158" s="9">
        <v>2.8000000000000001E-2</v>
      </c>
      <c r="AS158" s="9">
        <v>4.8000000000000001E-2</v>
      </c>
      <c r="AT158" s="9">
        <v>7</v>
      </c>
      <c r="AU158" s="9">
        <v>13</v>
      </c>
      <c r="AV158" s="9" t="b">
        <v>0</v>
      </c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</row>
    <row r="159" spans="1:102" ht="16" customHeight="1" x14ac:dyDescent="0.2">
      <c r="A159" s="8" t="s">
        <v>44</v>
      </c>
      <c r="B159" s="9" t="s">
        <v>353</v>
      </c>
      <c r="C159" s="9" t="s">
        <v>173</v>
      </c>
      <c r="D159" s="9" t="s">
        <v>174</v>
      </c>
      <c r="E159" s="9" t="s">
        <v>175</v>
      </c>
      <c r="F159" s="9" t="s">
        <v>176</v>
      </c>
      <c r="G159" s="9">
        <v>0.5</v>
      </c>
      <c r="H159" s="9">
        <v>3</v>
      </c>
      <c r="I159" s="9" t="s">
        <v>177</v>
      </c>
      <c r="J159" s="9" t="s">
        <v>178</v>
      </c>
      <c r="K159" s="9" t="s">
        <v>179</v>
      </c>
      <c r="L159" s="9" t="s">
        <v>180</v>
      </c>
      <c r="M159" s="9">
        <v>12308</v>
      </c>
      <c r="N159" s="9">
        <v>0.593015873015873</v>
      </c>
      <c r="O159" s="9">
        <v>0.23141724479682901</v>
      </c>
      <c r="P159" s="9">
        <v>0.33291748351452499</v>
      </c>
      <c r="Q159" s="9">
        <v>8.92</v>
      </c>
      <c r="R159" s="9">
        <v>1966</v>
      </c>
      <c r="S159" s="9">
        <v>1966</v>
      </c>
      <c r="T159" s="9">
        <v>341012</v>
      </c>
      <c r="U159" s="9">
        <v>20802</v>
      </c>
      <c r="V159" s="9">
        <v>361814</v>
      </c>
      <c r="W159" s="9">
        <v>70</v>
      </c>
      <c r="X159" s="9">
        <v>341012</v>
      </c>
      <c r="Y159" s="9">
        <v>20802</v>
      </c>
      <c r="Z159" s="9">
        <v>361814</v>
      </c>
      <c r="AA159" s="9">
        <v>65280</v>
      </c>
      <c r="AB159" s="9">
        <v>65280</v>
      </c>
      <c r="AC159" s="9">
        <v>0</v>
      </c>
      <c r="AD159" s="9">
        <v>0</v>
      </c>
      <c r="AE159" s="9">
        <v>0.13700000000000001</v>
      </c>
      <c r="AF159" s="9">
        <v>8.4760000000000009</v>
      </c>
      <c r="AG159" s="9">
        <v>1.0999999999999999E-2</v>
      </c>
      <c r="AH159" s="9">
        <v>0.29199999999999998</v>
      </c>
      <c r="AI159" s="9">
        <v>0.112</v>
      </c>
      <c r="AJ159" s="9">
        <v>1.0999999999999999E-2</v>
      </c>
      <c r="AK159" s="9">
        <v>0.251</v>
      </c>
      <c r="AL159" s="9">
        <v>2.1000000000000001E-2</v>
      </c>
      <c r="AM159" s="9">
        <v>0.47699999999999998</v>
      </c>
      <c r="AN159" s="9">
        <v>7.4059999999999997</v>
      </c>
      <c r="AO159" s="9">
        <v>6.6000000000000003E-2</v>
      </c>
      <c r="AP159" s="9">
        <v>0.108</v>
      </c>
      <c r="AQ159" s="9">
        <v>9.2999999999999999E-2</v>
      </c>
      <c r="AR159" s="9">
        <v>3.4000000000000002E-2</v>
      </c>
      <c r="AS159" s="9">
        <v>5.8000000000000003E-2</v>
      </c>
      <c r="AT159" s="9">
        <v>7</v>
      </c>
      <c r="AU159" s="9">
        <v>13</v>
      </c>
      <c r="AV159" s="9" t="b">
        <v>0</v>
      </c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</row>
    <row r="160" spans="1:102" ht="16" customHeight="1" x14ac:dyDescent="0.2">
      <c r="A160" s="8" t="s">
        <v>44</v>
      </c>
      <c r="B160" s="9" t="s">
        <v>354</v>
      </c>
      <c r="C160" s="9" t="s">
        <v>173</v>
      </c>
      <c r="D160" s="9" t="s">
        <v>174</v>
      </c>
      <c r="E160" s="9" t="s">
        <v>175</v>
      </c>
      <c r="F160" s="9" t="s">
        <v>176</v>
      </c>
      <c r="G160" s="9">
        <v>0.5</v>
      </c>
      <c r="H160" s="9">
        <v>4</v>
      </c>
      <c r="I160" s="9" t="s">
        <v>177</v>
      </c>
      <c r="J160" s="9" t="s">
        <v>178</v>
      </c>
      <c r="K160" s="9" t="s">
        <v>179</v>
      </c>
      <c r="L160" s="9" t="s">
        <v>180</v>
      </c>
      <c r="M160" s="9">
        <v>13340</v>
      </c>
      <c r="N160" s="9">
        <v>0.60427498555748105</v>
      </c>
      <c r="O160" s="9">
        <v>0.25916749256689797</v>
      </c>
      <c r="P160" s="9">
        <v>0.36275359805791602</v>
      </c>
      <c r="Q160" s="9">
        <v>10.38</v>
      </c>
      <c r="R160" s="9">
        <v>2621</v>
      </c>
      <c r="S160" s="9">
        <v>2621</v>
      </c>
      <c r="T160" s="9">
        <v>443491</v>
      </c>
      <c r="U160" s="9">
        <v>28734</v>
      </c>
      <c r="V160" s="9">
        <v>472225</v>
      </c>
      <c r="W160" s="9">
        <v>90</v>
      </c>
      <c r="X160" s="9">
        <v>443491</v>
      </c>
      <c r="Y160" s="9">
        <v>28734</v>
      </c>
      <c r="Z160" s="9">
        <v>472225</v>
      </c>
      <c r="AA160" s="9">
        <v>65280</v>
      </c>
      <c r="AB160" s="9">
        <v>65280</v>
      </c>
      <c r="AC160" s="9">
        <v>0</v>
      </c>
      <c r="AD160" s="9">
        <v>0</v>
      </c>
      <c r="AE160" s="9">
        <v>0.13800000000000001</v>
      </c>
      <c r="AF160" s="9">
        <v>9.9390000000000001</v>
      </c>
      <c r="AG160" s="9">
        <v>1.4999999999999999E-2</v>
      </c>
      <c r="AH160" s="9">
        <v>0.28899999999999998</v>
      </c>
      <c r="AI160" s="9">
        <v>0.107</v>
      </c>
      <c r="AJ160" s="9">
        <v>1.2E-2</v>
      </c>
      <c r="AK160" s="9">
        <v>0.25800000000000001</v>
      </c>
      <c r="AL160" s="9">
        <v>1.9E-2</v>
      </c>
      <c r="AM160" s="9">
        <v>0.49399999999999999</v>
      </c>
      <c r="AN160" s="9">
        <v>8.8290000000000006</v>
      </c>
      <c r="AO160" s="9">
        <v>7.0999999999999994E-2</v>
      </c>
      <c r="AP160" s="9">
        <v>0.107</v>
      </c>
      <c r="AQ160" s="9">
        <v>8.8999999999999996E-2</v>
      </c>
      <c r="AR160" s="9">
        <v>3.4000000000000002E-2</v>
      </c>
      <c r="AS160" s="9">
        <v>5.8999999999999997E-2</v>
      </c>
      <c r="AT160" s="9">
        <v>7</v>
      </c>
      <c r="AU160" s="9">
        <v>13</v>
      </c>
      <c r="AV160" s="9" t="b">
        <v>0</v>
      </c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</row>
    <row r="161" spans="1:102" ht="16" customHeight="1" x14ac:dyDescent="0.2">
      <c r="A161" s="8" t="s">
        <v>44</v>
      </c>
      <c r="B161" s="9" t="s">
        <v>195</v>
      </c>
      <c r="C161" s="9" t="s">
        <v>173</v>
      </c>
      <c r="D161" s="9" t="s">
        <v>174</v>
      </c>
      <c r="E161" s="9" t="s">
        <v>175</v>
      </c>
      <c r="F161" s="9" t="s">
        <v>176</v>
      </c>
      <c r="G161" s="9">
        <v>0.5</v>
      </c>
      <c r="H161" s="9">
        <v>5</v>
      </c>
      <c r="I161" s="9" t="s">
        <v>177</v>
      </c>
      <c r="J161" s="9" t="s">
        <v>178</v>
      </c>
      <c r="K161" s="9" t="s">
        <v>179</v>
      </c>
      <c r="L161" s="9" t="s">
        <v>180</v>
      </c>
      <c r="M161" s="9">
        <v>13316</v>
      </c>
      <c r="N161" s="9">
        <v>0.61631246410109097</v>
      </c>
      <c r="O161" s="9">
        <v>0.26585728444003998</v>
      </c>
      <c r="P161" s="9">
        <v>0.37147308291500802</v>
      </c>
      <c r="Q161" s="9">
        <v>11.41</v>
      </c>
      <c r="R161" s="9">
        <v>3276</v>
      </c>
      <c r="S161" s="9">
        <v>3276</v>
      </c>
      <c r="T161" s="9">
        <v>558464</v>
      </c>
      <c r="U161" s="9">
        <v>35840</v>
      </c>
      <c r="V161" s="9">
        <v>594304</v>
      </c>
      <c r="W161" s="9">
        <v>110</v>
      </c>
      <c r="X161" s="9">
        <v>558464</v>
      </c>
      <c r="Y161" s="9">
        <v>35840</v>
      </c>
      <c r="Z161" s="9">
        <v>594304</v>
      </c>
      <c r="AA161" s="9">
        <v>65280</v>
      </c>
      <c r="AB161" s="9">
        <v>65280</v>
      </c>
      <c r="AC161" s="9">
        <v>0</v>
      </c>
      <c r="AD161" s="9">
        <v>0</v>
      </c>
      <c r="AE161" s="9">
        <v>0.13400000000000001</v>
      </c>
      <c r="AF161" s="9">
        <v>11.003</v>
      </c>
      <c r="AG161" s="9">
        <v>1.2999999999999999E-2</v>
      </c>
      <c r="AH161" s="9">
        <v>0.25900000000000001</v>
      </c>
      <c r="AI161" s="9">
        <v>9.6000000000000002E-2</v>
      </c>
      <c r="AJ161" s="9">
        <v>1.2E-2</v>
      </c>
      <c r="AK161" s="9">
        <v>0.27</v>
      </c>
      <c r="AL161" s="9">
        <v>1.9E-2</v>
      </c>
      <c r="AM161" s="9">
        <v>0.499</v>
      </c>
      <c r="AN161" s="9">
        <v>9.9120000000000008</v>
      </c>
      <c r="AO161" s="9">
        <v>6.5000000000000002E-2</v>
      </c>
      <c r="AP161" s="9">
        <v>9.9000000000000005E-2</v>
      </c>
      <c r="AQ161" s="9">
        <v>8.2000000000000003E-2</v>
      </c>
      <c r="AR161" s="9">
        <v>2.9000000000000001E-2</v>
      </c>
      <c r="AS161" s="9">
        <v>4.9000000000000002E-2</v>
      </c>
      <c r="AT161" s="9">
        <v>7</v>
      </c>
      <c r="AU161" s="9">
        <v>13</v>
      </c>
      <c r="AV161" s="9" t="b">
        <v>0</v>
      </c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</row>
    <row r="162" spans="1:102" s="32" customFormat="1" ht="16" customHeight="1" x14ac:dyDescent="0.2">
      <c r="A162" s="30" t="s">
        <v>44</v>
      </c>
      <c r="B162" s="29" t="s">
        <v>355</v>
      </c>
      <c r="C162" s="29" t="s">
        <v>173</v>
      </c>
      <c r="D162" s="29" t="s">
        <v>174</v>
      </c>
      <c r="E162" s="29" t="s">
        <v>175</v>
      </c>
      <c r="F162" s="29" t="s">
        <v>176</v>
      </c>
      <c r="G162" s="29">
        <v>0.5</v>
      </c>
      <c r="H162" s="29">
        <v>6</v>
      </c>
      <c r="I162" s="29" t="s">
        <v>177</v>
      </c>
      <c r="J162" s="29" t="s">
        <v>178</v>
      </c>
      <c r="K162" s="29" t="s">
        <v>179</v>
      </c>
      <c r="L162" s="29" t="s">
        <v>180</v>
      </c>
      <c r="M162" s="29">
        <v>13156</v>
      </c>
      <c r="N162" s="29">
        <v>0.622079439252336</v>
      </c>
      <c r="O162" s="29">
        <v>0.26387512388503498</v>
      </c>
      <c r="P162" s="29">
        <v>0.370563674321503</v>
      </c>
      <c r="Q162" s="29">
        <v>12.4</v>
      </c>
      <c r="R162" s="29">
        <v>3932</v>
      </c>
      <c r="S162" s="29">
        <v>3932</v>
      </c>
      <c r="T162" s="29">
        <v>667034</v>
      </c>
      <c r="U162" s="29">
        <v>43298</v>
      </c>
      <c r="V162" s="29">
        <v>710332</v>
      </c>
      <c r="W162" s="29">
        <v>130</v>
      </c>
      <c r="X162" s="29">
        <v>667034</v>
      </c>
      <c r="Y162" s="29">
        <v>43298</v>
      </c>
      <c r="Z162" s="29">
        <v>710332</v>
      </c>
      <c r="AA162" s="29">
        <v>65280</v>
      </c>
      <c r="AB162" s="29">
        <v>65280</v>
      </c>
      <c r="AC162" s="29">
        <v>0</v>
      </c>
      <c r="AD162" s="29">
        <v>0</v>
      </c>
      <c r="AE162" s="29">
        <v>0.13700000000000001</v>
      </c>
      <c r="AF162" s="29">
        <v>11.992000000000001</v>
      </c>
      <c r="AG162" s="29">
        <v>1.7999999999999999E-2</v>
      </c>
      <c r="AH162" s="29">
        <v>0.254</v>
      </c>
      <c r="AI162" s="29">
        <v>0.106</v>
      </c>
      <c r="AJ162" s="29">
        <v>1.0999999999999999E-2</v>
      </c>
      <c r="AK162" s="29">
        <v>0.26200000000000001</v>
      </c>
      <c r="AL162" s="29">
        <v>1.9E-2</v>
      </c>
      <c r="AM162" s="29">
        <v>0.49399999999999999</v>
      </c>
      <c r="AN162" s="29">
        <v>10.893000000000001</v>
      </c>
      <c r="AO162" s="29">
        <v>6.9000000000000006E-2</v>
      </c>
      <c r="AP162" s="29">
        <v>9.8000000000000004E-2</v>
      </c>
      <c r="AQ162" s="29">
        <v>7.6999999999999999E-2</v>
      </c>
      <c r="AR162" s="29">
        <v>3.2000000000000001E-2</v>
      </c>
      <c r="AS162" s="29">
        <v>4.8000000000000001E-2</v>
      </c>
      <c r="AT162" s="29">
        <v>8</v>
      </c>
      <c r="AU162" s="29">
        <v>13</v>
      </c>
      <c r="AV162" s="29" t="b">
        <v>0</v>
      </c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</row>
    <row r="163" spans="1:102" ht="16" customHeight="1" x14ac:dyDescent="0.2">
      <c r="A163" s="8" t="s">
        <v>44</v>
      </c>
      <c r="B163" s="9" t="s">
        <v>356</v>
      </c>
      <c r="C163" s="9" t="s">
        <v>173</v>
      </c>
      <c r="D163" s="9" t="s">
        <v>174</v>
      </c>
      <c r="E163" s="9" t="s">
        <v>175</v>
      </c>
      <c r="F163" s="9" t="s">
        <v>176</v>
      </c>
      <c r="G163" s="9">
        <v>0.5</v>
      </c>
      <c r="H163" s="9">
        <v>7</v>
      </c>
      <c r="I163" s="9" t="s">
        <v>177</v>
      </c>
      <c r="J163" s="9" t="s">
        <v>178</v>
      </c>
      <c r="K163" s="9" t="s">
        <v>179</v>
      </c>
      <c r="L163" s="9" t="s">
        <v>180</v>
      </c>
      <c r="M163" s="9">
        <v>7102</v>
      </c>
      <c r="N163" s="9">
        <v>0.75204918032786905</v>
      </c>
      <c r="O163" s="9">
        <v>0.181863230921705</v>
      </c>
      <c r="P163" s="9">
        <v>0.29289704708699099</v>
      </c>
      <c r="Q163" s="9">
        <v>13.02</v>
      </c>
      <c r="R163" s="9">
        <v>4587</v>
      </c>
      <c r="S163" s="9">
        <v>4587</v>
      </c>
      <c r="T163" s="9">
        <v>788015</v>
      </c>
      <c r="U163" s="9">
        <v>49186</v>
      </c>
      <c r="V163" s="9">
        <v>837201</v>
      </c>
      <c r="W163" s="9">
        <v>150</v>
      </c>
      <c r="X163" s="9">
        <v>788015</v>
      </c>
      <c r="Y163" s="9">
        <v>49186</v>
      </c>
      <c r="Z163" s="9">
        <v>837201</v>
      </c>
      <c r="AA163" s="9">
        <v>65280</v>
      </c>
      <c r="AB163" s="9">
        <v>65280</v>
      </c>
      <c r="AC163" s="9">
        <v>0</v>
      </c>
      <c r="AD163" s="9">
        <v>0</v>
      </c>
      <c r="AE163" s="9">
        <v>0.13800000000000001</v>
      </c>
      <c r="AF163" s="9">
        <v>12.61</v>
      </c>
      <c r="AG163" s="9">
        <v>1.7000000000000001E-2</v>
      </c>
      <c r="AH163" s="9">
        <v>0.251</v>
      </c>
      <c r="AI163" s="9">
        <v>9.9000000000000005E-2</v>
      </c>
      <c r="AJ163" s="9">
        <v>1.0999999999999999E-2</v>
      </c>
      <c r="AK163" s="9">
        <v>0.27</v>
      </c>
      <c r="AL163" s="9">
        <v>1.9E-2</v>
      </c>
      <c r="AM163" s="9">
        <v>0.47699999999999998</v>
      </c>
      <c r="AN163" s="9">
        <v>11.579000000000001</v>
      </c>
      <c r="AO163" s="9">
        <v>4.2000000000000003E-2</v>
      </c>
      <c r="AP163" s="9">
        <v>9.5000000000000001E-2</v>
      </c>
      <c r="AQ163" s="9">
        <v>7.6999999999999999E-2</v>
      </c>
      <c r="AR163" s="9">
        <v>3.2000000000000001E-2</v>
      </c>
      <c r="AS163" s="9">
        <v>4.7E-2</v>
      </c>
      <c r="AT163" s="9">
        <v>8</v>
      </c>
      <c r="AU163" s="9">
        <v>13</v>
      </c>
      <c r="AV163" s="9" t="b">
        <v>0</v>
      </c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</row>
    <row r="164" spans="1:102" ht="16" customHeight="1" x14ac:dyDescent="0.2">
      <c r="A164" s="8" t="s">
        <v>44</v>
      </c>
      <c r="B164" s="9" t="s">
        <v>357</v>
      </c>
      <c r="C164" s="9" t="s">
        <v>173</v>
      </c>
      <c r="D164" s="9" t="s">
        <v>174</v>
      </c>
      <c r="E164" s="9" t="s">
        <v>175</v>
      </c>
      <c r="F164" s="9" t="s">
        <v>176</v>
      </c>
      <c r="G164" s="9">
        <v>0.5</v>
      </c>
      <c r="H164" s="9">
        <v>8</v>
      </c>
      <c r="I164" s="9" t="s">
        <v>177</v>
      </c>
      <c r="J164" s="9" t="s">
        <v>178</v>
      </c>
      <c r="K164" s="9" t="s">
        <v>179</v>
      </c>
      <c r="L164" s="9" t="s">
        <v>180</v>
      </c>
      <c r="M164" s="9">
        <v>7380</v>
      </c>
      <c r="N164" s="9">
        <v>0.72034715525554505</v>
      </c>
      <c r="O164" s="9">
        <v>0.18508424182358801</v>
      </c>
      <c r="P164" s="9">
        <v>0.29450029568302799</v>
      </c>
      <c r="Q164" s="9">
        <v>13.89</v>
      </c>
      <c r="R164" s="9">
        <v>5242</v>
      </c>
      <c r="S164" s="9">
        <v>5242</v>
      </c>
      <c r="T164" s="9">
        <v>906294</v>
      </c>
      <c r="U164" s="9">
        <v>55606</v>
      </c>
      <c r="V164" s="9">
        <v>961900</v>
      </c>
      <c r="W164" s="9">
        <v>170</v>
      </c>
      <c r="X164" s="9">
        <v>906294</v>
      </c>
      <c r="Y164" s="9">
        <v>55606</v>
      </c>
      <c r="Z164" s="9">
        <v>961900</v>
      </c>
      <c r="AA164" s="9">
        <v>65280</v>
      </c>
      <c r="AB164" s="9">
        <v>65280</v>
      </c>
      <c r="AC164" s="9">
        <v>0</v>
      </c>
      <c r="AD164" s="9">
        <v>0</v>
      </c>
      <c r="AE164" s="9">
        <v>0.13500000000000001</v>
      </c>
      <c r="AF164" s="9">
        <v>13.481999999999999</v>
      </c>
      <c r="AG164" s="9">
        <v>2.1000000000000001E-2</v>
      </c>
      <c r="AH164" s="9">
        <v>0.255</v>
      </c>
      <c r="AI164" s="9">
        <v>9.8000000000000004E-2</v>
      </c>
      <c r="AJ164" s="9">
        <v>0.01</v>
      </c>
      <c r="AK164" s="9">
        <v>0.249</v>
      </c>
      <c r="AL164" s="9">
        <v>2.1999999999999999E-2</v>
      </c>
      <c r="AM164" s="9">
        <v>0.53</v>
      </c>
      <c r="AN164" s="9">
        <v>12.416</v>
      </c>
      <c r="AO164" s="9">
        <v>4.2999999999999997E-2</v>
      </c>
      <c r="AP164" s="9">
        <v>9.7000000000000003E-2</v>
      </c>
      <c r="AQ164" s="9">
        <v>7.6999999999999999E-2</v>
      </c>
      <c r="AR164" s="9">
        <v>3.2000000000000001E-2</v>
      </c>
      <c r="AS164" s="9">
        <v>4.9000000000000002E-2</v>
      </c>
      <c r="AT164" s="9">
        <v>8</v>
      </c>
      <c r="AU164" s="9">
        <v>13</v>
      </c>
      <c r="AV164" s="9" t="b">
        <v>0</v>
      </c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</row>
    <row r="165" spans="1:102" ht="16" customHeight="1" x14ac:dyDescent="0.2">
      <c r="A165" s="8" t="s">
        <v>44</v>
      </c>
      <c r="B165" s="9" t="s">
        <v>358</v>
      </c>
      <c r="C165" s="9" t="s">
        <v>173</v>
      </c>
      <c r="D165" s="9" t="s">
        <v>174</v>
      </c>
      <c r="E165" s="9" t="s">
        <v>175</v>
      </c>
      <c r="F165" s="9" t="s">
        <v>176</v>
      </c>
      <c r="G165" s="9">
        <v>0.5</v>
      </c>
      <c r="H165" s="9">
        <v>9</v>
      </c>
      <c r="I165" s="9" t="s">
        <v>177</v>
      </c>
      <c r="J165" s="9" t="s">
        <v>178</v>
      </c>
      <c r="K165" s="9" t="s">
        <v>179</v>
      </c>
      <c r="L165" s="9" t="s">
        <v>180</v>
      </c>
      <c r="M165" s="9">
        <v>7108</v>
      </c>
      <c r="N165" s="9">
        <v>0.74404761904761896</v>
      </c>
      <c r="O165" s="9">
        <v>0.185827552031715</v>
      </c>
      <c r="P165" s="9">
        <v>0.297383029341792</v>
      </c>
      <c r="Q165" s="9">
        <v>15.38</v>
      </c>
      <c r="R165" s="9">
        <v>5898</v>
      </c>
      <c r="S165" s="9">
        <v>5898</v>
      </c>
      <c r="T165" s="9">
        <v>1007336</v>
      </c>
      <c r="U165" s="9">
        <v>62980</v>
      </c>
      <c r="V165" s="9">
        <v>1070316</v>
      </c>
      <c r="W165" s="9">
        <v>190</v>
      </c>
      <c r="X165" s="9">
        <v>1007336</v>
      </c>
      <c r="Y165" s="9">
        <v>62980</v>
      </c>
      <c r="Z165" s="9">
        <v>1070316</v>
      </c>
      <c r="AA165" s="9">
        <v>65280</v>
      </c>
      <c r="AB165" s="9">
        <v>65280</v>
      </c>
      <c r="AC165" s="9">
        <v>0</v>
      </c>
      <c r="AD165" s="9">
        <v>0</v>
      </c>
      <c r="AE165" s="9">
        <v>0.13600000000000001</v>
      </c>
      <c r="AF165" s="9">
        <v>14.96</v>
      </c>
      <c r="AG165" s="9">
        <v>2.5000000000000001E-2</v>
      </c>
      <c r="AH165" s="9">
        <v>0.25600000000000001</v>
      </c>
      <c r="AI165" s="9">
        <v>0.10100000000000001</v>
      </c>
      <c r="AJ165" s="9">
        <v>0.01</v>
      </c>
      <c r="AK165" s="9">
        <v>0.26</v>
      </c>
      <c r="AL165" s="9">
        <v>8.9999999999999993E-3</v>
      </c>
      <c r="AM165" s="9">
        <v>0.52700000000000002</v>
      </c>
      <c r="AN165" s="9">
        <v>13.906000000000001</v>
      </c>
      <c r="AO165" s="9">
        <v>0.04</v>
      </c>
      <c r="AP165" s="9">
        <v>9.8000000000000004E-2</v>
      </c>
      <c r="AQ165" s="9">
        <v>7.6999999999999999E-2</v>
      </c>
      <c r="AR165" s="9">
        <v>3.2000000000000001E-2</v>
      </c>
      <c r="AS165" s="9">
        <v>4.8000000000000001E-2</v>
      </c>
      <c r="AT165" s="9">
        <v>8</v>
      </c>
      <c r="AU165" s="9">
        <v>13</v>
      </c>
      <c r="AV165" s="9" t="b">
        <v>0</v>
      </c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</row>
    <row r="166" spans="1:102" ht="16" customHeight="1" x14ac:dyDescent="0.2">
      <c r="A166" s="8" t="s">
        <v>44</v>
      </c>
      <c r="B166" s="9" t="s">
        <v>196</v>
      </c>
      <c r="C166" s="9" t="s">
        <v>173</v>
      </c>
      <c r="D166" s="9" t="s">
        <v>174</v>
      </c>
      <c r="E166" s="9" t="s">
        <v>175</v>
      </c>
      <c r="F166" s="9" t="s">
        <v>176</v>
      </c>
      <c r="G166" s="9">
        <v>0.5</v>
      </c>
      <c r="H166" s="9">
        <v>10</v>
      </c>
      <c r="I166" s="9" t="s">
        <v>177</v>
      </c>
      <c r="J166" s="9" t="s">
        <v>178</v>
      </c>
      <c r="K166" s="9" t="s">
        <v>179</v>
      </c>
      <c r="L166" s="9" t="s">
        <v>180</v>
      </c>
      <c r="M166" s="9">
        <v>6555</v>
      </c>
      <c r="N166" s="9">
        <v>0.76427061310782196</v>
      </c>
      <c r="O166" s="9">
        <v>0.179137760158573</v>
      </c>
      <c r="P166" s="9">
        <v>0.29024488157366501</v>
      </c>
      <c r="Q166" s="9">
        <v>17.600000000000001</v>
      </c>
      <c r="R166" s="9">
        <v>6553</v>
      </c>
      <c r="S166" s="9">
        <v>6553</v>
      </c>
      <c r="T166" s="9">
        <v>1128945</v>
      </c>
      <c r="U166" s="9">
        <v>70394</v>
      </c>
      <c r="V166" s="9">
        <v>1199339</v>
      </c>
      <c r="W166" s="9">
        <v>210</v>
      </c>
      <c r="X166" s="9">
        <v>1128945</v>
      </c>
      <c r="Y166" s="9">
        <v>70394</v>
      </c>
      <c r="Z166" s="9">
        <v>1199339</v>
      </c>
      <c r="AA166" s="9">
        <v>65280</v>
      </c>
      <c r="AB166" s="9">
        <v>65280</v>
      </c>
      <c r="AC166" s="9">
        <v>0</v>
      </c>
      <c r="AD166" s="9">
        <v>0</v>
      </c>
      <c r="AE166" s="9">
        <v>0.13500000000000001</v>
      </c>
      <c r="AF166" s="9">
        <v>17.189</v>
      </c>
      <c r="AG166" s="9">
        <v>2.5999999999999999E-2</v>
      </c>
      <c r="AH166" s="9">
        <v>0.253</v>
      </c>
      <c r="AI166" s="9">
        <v>0.10199999999999999</v>
      </c>
      <c r="AJ166" s="9">
        <v>1.0999999999999999E-2</v>
      </c>
      <c r="AK166" s="9">
        <v>0.28100000000000003</v>
      </c>
      <c r="AL166" s="9">
        <v>2.1000000000000001E-2</v>
      </c>
      <c r="AM166" s="9">
        <v>0.51700000000000002</v>
      </c>
      <c r="AN166" s="9">
        <v>16.094000000000001</v>
      </c>
      <c r="AO166" s="9">
        <v>3.7999999999999999E-2</v>
      </c>
      <c r="AP166" s="9">
        <v>9.6000000000000002E-2</v>
      </c>
      <c r="AQ166" s="9">
        <v>7.4999999999999997E-2</v>
      </c>
      <c r="AR166" s="9">
        <v>3.3000000000000002E-2</v>
      </c>
      <c r="AS166" s="9">
        <v>4.9000000000000002E-2</v>
      </c>
      <c r="AT166" s="9">
        <v>8</v>
      </c>
      <c r="AU166" s="9">
        <v>13</v>
      </c>
      <c r="AV166" s="9" t="b">
        <v>0</v>
      </c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</row>
    <row r="167" spans="1:102" ht="16" customHeight="1" x14ac:dyDescent="0.2">
      <c r="A167" s="8" t="s">
        <v>44</v>
      </c>
      <c r="B167" s="9" t="s">
        <v>359</v>
      </c>
      <c r="C167" s="9" t="s">
        <v>227</v>
      </c>
      <c r="D167" s="9" t="s">
        <v>174</v>
      </c>
      <c r="E167" s="9" t="s">
        <v>228</v>
      </c>
      <c r="F167" s="9" t="s">
        <v>176</v>
      </c>
      <c r="G167" s="9">
        <v>0.5</v>
      </c>
      <c r="H167" s="9">
        <v>1</v>
      </c>
      <c r="I167" s="9" t="s">
        <v>177</v>
      </c>
      <c r="J167" s="9" t="s">
        <v>178</v>
      </c>
      <c r="K167" s="9" t="s">
        <v>179</v>
      </c>
      <c r="L167" s="9" t="s">
        <v>180</v>
      </c>
      <c r="M167" s="9">
        <v>4239</v>
      </c>
      <c r="N167" s="9">
        <v>0.75260804769001499</v>
      </c>
      <c r="O167" s="9">
        <v>0.12512388503468799</v>
      </c>
      <c r="P167" s="9">
        <v>0.21457403866581701</v>
      </c>
      <c r="Q167" s="9">
        <v>34.71</v>
      </c>
      <c r="R167" s="9">
        <v>655</v>
      </c>
      <c r="S167" s="9">
        <v>15670</v>
      </c>
      <c r="T167" s="9">
        <v>2744353</v>
      </c>
      <c r="U167" s="9">
        <v>169352</v>
      </c>
      <c r="V167" s="9">
        <v>2913705</v>
      </c>
      <c r="W167" s="9">
        <v>500</v>
      </c>
      <c r="X167" s="9">
        <v>2744353</v>
      </c>
      <c r="Y167" s="9">
        <v>169352</v>
      </c>
      <c r="Z167" s="9">
        <v>2913705</v>
      </c>
      <c r="AA167" s="9">
        <v>65280</v>
      </c>
      <c r="AB167" s="9">
        <v>50265</v>
      </c>
      <c r="AC167" s="9">
        <v>15015</v>
      </c>
      <c r="AD167" s="9">
        <v>0.23000919117647101</v>
      </c>
      <c r="AE167" s="9">
        <v>0.13700000000000001</v>
      </c>
      <c r="AF167" s="9">
        <v>34.271999999999998</v>
      </c>
      <c r="AG167" s="9">
        <v>4.0000000000000001E-3</v>
      </c>
      <c r="AH167" s="9">
        <v>0.29699999999999999</v>
      </c>
      <c r="AI167" s="9">
        <v>8.3000000000000004E-2</v>
      </c>
      <c r="AJ167" s="9">
        <v>1.0999999999999999E-2</v>
      </c>
      <c r="AK167" s="9">
        <v>0.252</v>
      </c>
      <c r="AL167" s="9">
        <v>8.9999999999999993E-3</v>
      </c>
      <c r="AM167" s="9">
        <v>0</v>
      </c>
      <c r="AN167" s="9">
        <v>32.959000000000003</v>
      </c>
      <c r="AO167" s="9">
        <v>2.7E-2</v>
      </c>
      <c r="AP167" s="9">
        <v>0.107</v>
      </c>
      <c r="AQ167" s="9">
        <v>9.6000000000000002E-2</v>
      </c>
      <c r="AR167" s="9">
        <v>3.5000000000000003E-2</v>
      </c>
      <c r="AS167" s="9">
        <v>5.8999999999999997E-2</v>
      </c>
      <c r="AT167" s="9">
        <v>7</v>
      </c>
      <c r="AU167" s="9">
        <v>13</v>
      </c>
      <c r="AV167" s="9" t="b">
        <v>1</v>
      </c>
      <c r="AW167" s="19"/>
      <c r="AX167" s="9" t="s">
        <v>229</v>
      </c>
      <c r="AY167" s="9">
        <v>260</v>
      </c>
      <c r="AZ167" s="9">
        <v>65</v>
      </c>
      <c r="BA167" s="9">
        <v>195</v>
      </c>
      <c r="BB167" s="9">
        <v>0.3</v>
      </c>
      <c r="BC167" s="9">
        <v>0.3</v>
      </c>
      <c r="BD167" s="19"/>
      <c r="BE167" s="19"/>
      <c r="BF167" s="19"/>
      <c r="BG167" s="19"/>
      <c r="BH167" s="9" t="s">
        <v>230</v>
      </c>
      <c r="BI167" s="9">
        <v>979</v>
      </c>
      <c r="BJ167" s="9">
        <v>15015</v>
      </c>
      <c r="BK167" s="9">
        <v>49286</v>
      </c>
      <c r="BL167" s="9">
        <v>0.232340425531915</v>
      </c>
      <c r="BM167" s="19"/>
      <c r="BN167" s="19"/>
      <c r="BO167" s="19"/>
      <c r="BP167" s="19"/>
      <c r="BQ167" s="19"/>
      <c r="BR167" s="19"/>
      <c r="BS167" s="9" t="b">
        <v>1</v>
      </c>
      <c r="BT167" s="9">
        <v>15015</v>
      </c>
      <c r="BU167" s="9">
        <v>3384</v>
      </c>
      <c r="BV167" s="9">
        <v>29.872683048248302</v>
      </c>
      <c r="BW167" s="19"/>
      <c r="BX167" s="19"/>
      <c r="BY167" s="9">
        <v>30.256427764892599</v>
      </c>
      <c r="BZ167" s="9" t="s">
        <v>231</v>
      </c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9">
        <v>4363</v>
      </c>
      <c r="CP167" s="9">
        <v>814</v>
      </c>
      <c r="CQ167" s="9">
        <v>100</v>
      </c>
      <c r="CR167" s="9">
        <v>65</v>
      </c>
      <c r="CS167" s="9">
        <v>3384</v>
      </c>
      <c r="CT167" s="9">
        <v>60917</v>
      </c>
      <c r="CU167" s="9">
        <v>48796</v>
      </c>
      <c r="CV167" s="9">
        <v>295</v>
      </c>
      <c r="CW167" s="9">
        <v>195</v>
      </c>
      <c r="CX167" s="9">
        <v>11631</v>
      </c>
    </row>
    <row r="168" spans="1:102" ht="16" customHeight="1" x14ac:dyDescent="0.2">
      <c r="A168" s="8" t="s">
        <v>44</v>
      </c>
      <c r="B168" s="9" t="s">
        <v>360</v>
      </c>
      <c r="C168" s="9" t="s">
        <v>227</v>
      </c>
      <c r="D168" s="9" t="s">
        <v>174</v>
      </c>
      <c r="E168" s="9" t="s">
        <v>228</v>
      </c>
      <c r="F168" s="9" t="s">
        <v>176</v>
      </c>
      <c r="G168" s="9">
        <v>0.5</v>
      </c>
      <c r="H168" s="9">
        <v>2</v>
      </c>
      <c r="I168" s="9" t="s">
        <v>177</v>
      </c>
      <c r="J168" s="9" t="s">
        <v>178</v>
      </c>
      <c r="K168" s="9" t="s">
        <v>179</v>
      </c>
      <c r="L168" s="9" t="s">
        <v>180</v>
      </c>
      <c r="M168" s="9">
        <v>6376</v>
      </c>
      <c r="N168" s="9">
        <v>0.75331294597349596</v>
      </c>
      <c r="O168" s="9">
        <v>0.18310208126858299</v>
      </c>
      <c r="P168" s="9">
        <v>0.294598365557106</v>
      </c>
      <c r="Q168" s="9">
        <v>40.03</v>
      </c>
      <c r="R168" s="9">
        <v>1310</v>
      </c>
      <c r="S168" s="9">
        <v>17888</v>
      </c>
      <c r="T168" s="9">
        <v>3090263</v>
      </c>
      <c r="U168" s="9">
        <v>202516</v>
      </c>
      <c r="V168" s="9">
        <v>3292779</v>
      </c>
      <c r="W168" s="9">
        <v>569</v>
      </c>
      <c r="X168" s="9">
        <v>3090263</v>
      </c>
      <c r="Y168" s="9">
        <v>202516</v>
      </c>
      <c r="Z168" s="9">
        <v>3292779</v>
      </c>
      <c r="AA168" s="9">
        <v>65280</v>
      </c>
      <c r="AB168" s="9">
        <v>48702</v>
      </c>
      <c r="AC168" s="9">
        <v>16578</v>
      </c>
      <c r="AD168" s="9">
        <v>0.25395220588235301</v>
      </c>
      <c r="AE168" s="9">
        <v>0.13600000000000001</v>
      </c>
      <c r="AF168" s="9">
        <v>39.631999999999998</v>
      </c>
      <c r="AG168" s="9">
        <v>5.0000000000000001E-3</v>
      </c>
      <c r="AH168" s="9">
        <v>0.252</v>
      </c>
      <c r="AI168" s="9">
        <v>7.8E-2</v>
      </c>
      <c r="AJ168" s="9">
        <v>1.0999999999999999E-2</v>
      </c>
      <c r="AK168" s="9">
        <v>0.249</v>
      </c>
      <c r="AL168" s="9">
        <v>8.9999999999999993E-3</v>
      </c>
      <c r="AM168" s="9">
        <v>0</v>
      </c>
      <c r="AN168" s="9">
        <v>38.293999999999997</v>
      </c>
      <c r="AO168" s="9">
        <v>3.7999999999999999E-2</v>
      </c>
      <c r="AP168" s="9">
        <v>9.9000000000000005E-2</v>
      </c>
      <c r="AQ168" s="9">
        <v>7.5999999999999998E-2</v>
      </c>
      <c r="AR168" s="9">
        <v>2.8000000000000001E-2</v>
      </c>
      <c r="AS168" s="9">
        <v>0.05</v>
      </c>
      <c r="AT168" s="9">
        <v>7</v>
      </c>
      <c r="AU168" s="9">
        <v>13</v>
      </c>
      <c r="AV168" s="9" t="b">
        <v>1</v>
      </c>
      <c r="AW168" s="19"/>
      <c r="AX168" s="9" t="s">
        <v>229</v>
      </c>
      <c r="AY168" s="9">
        <v>523</v>
      </c>
      <c r="AZ168" s="9">
        <v>128</v>
      </c>
      <c r="BA168" s="9">
        <v>395</v>
      </c>
      <c r="BB168" s="9">
        <v>0.3</v>
      </c>
      <c r="BC168" s="9">
        <v>0.3</v>
      </c>
      <c r="BD168" s="19"/>
      <c r="BE168" s="19"/>
      <c r="BF168" s="19"/>
      <c r="BG168" s="19"/>
      <c r="BH168" s="9" t="s">
        <v>230</v>
      </c>
      <c r="BI168" s="9">
        <v>3310</v>
      </c>
      <c r="BJ168" s="9">
        <v>16578</v>
      </c>
      <c r="BK168" s="9">
        <v>45392</v>
      </c>
      <c r="BL168" s="9">
        <v>0.25915272784117599</v>
      </c>
      <c r="BM168" s="19"/>
      <c r="BN168" s="19"/>
      <c r="BO168" s="19"/>
      <c r="BP168" s="19"/>
      <c r="BQ168" s="19"/>
      <c r="BR168" s="19"/>
      <c r="BS168" s="9" t="b">
        <v>1</v>
      </c>
      <c r="BT168" s="9">
        <v>16578</v>
      </c>
      <c r="BU168" s="9">
        <v>3240</v>
      </c>
      <c r="BV168" s="9">
        <v>33.348451614379897</v>
      </c>
      <c r="BW168" s="19"/>
      <c r="BX168" s="19"/>
      <c r="BY168" s="9">
        <v>33.733157873153701</v>
      </c>
      <c r="BZ168" s="9" t="s">
        <v>231</v>
      </c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9">
        <v>6550</v>
      </c>
      <c r="CP168" s="9">
        <v>2990</v>
      </c>
      <c r="CQ168" s="9">
        <v>192</v>
      </c>
      <c r="CR168" s="9">
        <v>128</v>
      </c>
      <c r="CS168" s="9">
        <v>3240</v>
      </c>
      <c r="CT168" s="9">
        <v>58730</v>
      </c>
      <c r="CU168" s="9">
        <v>44402</v>
      </c>
      <c r="CV168" s="9">
        <v>595</v>
      </c>
      <c r="CW168" s="9">
        <v>395</v>
      </c>
      <c r="CX168" s="9">
        <v>13338</v>
      </c>
    </row>
    <row r="169" spans="1:102" ht="16" customHeight="1" x14ac:dyDescent="0.2">
      <c r="A169" s="8" t="s">
        <v>44</v>
      </c>
      <c r="B169" s="9" t="s">
        <v>361</v>
      </c>
      <c r="C169" s="9" t="s">
        <v>227</v>
      </c>
      <c r="D169" s="9" t="s">
        <v>174</v>
      </c>
      <c r="E169" s="9" t="s">
        <v>228</v>
      </c>
      <c r="F169" s="9" t="s">
        <v>176</v>
      </c>
      <c r="G169" s="9">
        <v>0.5</v>
      </c>
      <c r="H169" s="9">
        <v>3</v>
      </c>
      <c r="I169" s="9" t="s">
        <v>177</v>
      </c>
      <c r="J169" s="9" t="s">
        <v>178</v>
      </c>
      <c r="K169" s="9" t="s">
        <v>179</v>
      </c>
      <c r="L169" s="9" t="s">
        <v>180</v>
      </c>
      <c r="M169" s="9">
        <v>8058</v>
      </c>
      <c r="N169" s="9">
        <v>0.72048611111111105</v>
      </c>
      <c r="O169" s="9">
        <v>0.205649157581764</v>
      </c>
      <c r="P169" s="9">
        <v>0.31996915959907501</v>
      </c>
      <c r="Q169" s="9">
        <v>30.88</v>
      </c>
      <c r="R169" s="9">
        <v>1966</v>
      </c>
      <c r="S169" s="9">
        <v>14026</v>
      </c>
      <c r="T169" s="9">
        <v>2470622</v>
      </c>
      <c r="U169" s="9">
        <v>147374</v>
      </c>
      <c r="V169" s="9">
        <v>2617996</v>
      </c>
      <c r="W169" s="9">
        <v>447</v>
      </c>
      <c r="X169" s="9">
        <v>2470622</v>
      </c>
      <c r="Y169" s="9">
        <v>147374</v>
      </c>
      <c r="Z169" s="9">
        <v>2617996</v>
      </c>
      <c r="AA169" s="9">
        <v>65280</v>
      </c>
      <c r="AB169" s="9">
        <v>53220</v>
      </c>
      <c r="AC169" s="9">
        <v>12060</v>
      </c>
      <c r="AD169" s="9">
        <v>0.18474264705882401</v>
      </c>
      <c r="AE169" s="9">
        <v>0.13700000000000001</v>
      </c>
      <c r="AF169" s="9">
        <v>30.478999999999999</v>
      </c>
      <c r="AG169" s="9">
        <v>8.9999999999999993E-3</v>
      </c>
      <c r="AH169" s="9">
        <v>0.252</v>
      </c>
      <c r="AI169" s="9">
        <v>7.3999999999999996E-2</v>
      </c>
      <c r="AJ169" s="9">
        <v>1.0999999999999999E-2</v>
      </c>
      <c r="AK169" s="9">
        <v>0.253</v>
      </c>
      <c r="AL169" s="9">
        <v>8.9999999999999993E-3</v>
      </c>
      <c r="AM169" s="9">
        <v>0</v>
      </c>
      <c r="AN169" s="9">
        <v>29.148</v>
      </c>
      <c r="AO169" s="9">
        <v>4.3999999999999997E-2</v>
      </c>
      <c r="AP169" s="9">
        <v>0.10199999999999999</v>
      </c>
      <c r="AQ169" s="9">
        <v>7.3999999999999996E-2</v>
      </c>
      <c r="AR169" s="9">
        <v>2.8000000000000001E-2</v>
      </c>
      <c r="AS169" s="9">
        <v>4.8000000000000001E-2</v>
      </c>
      <c r="AT169" s="9">
        <v>7</v>
      </c>
      <c r="AU169" s="9">
        <v>13</v>
      </c>
      <c r="AV169" s="9" t="b">
        <v>1</v>
      </c>
      <c r="AW169" s="19"/>
      <c r="AX169" s="9" t="s">
        <v>229</v>
      </c>
      <c r="AY169" s="9">
        <v>787</v>
      </c>
      <c r="AZ169" s="9">
        <v>212</v>
      </c>
      <c r="BA169" s="9">
        <v>575</v>
      </c>
      <c r="BB169" s="9">
        <v>0.3</v>
      </c>
      <c r="BC169" s="9">
        <v>0.3</v>
      </c>
      <c r="BD169" s="19"/>
      <c r="BE169" s="19"/>
      <c r="BF169" s="19"/>
      <c r="BG169" s="19"/>
      <c r="BH169" s="9" t="s">
        <v>230</v>
      </c>
      <c r="BI169" s="9">
        <v>5176</v>
      </c>
      <c r="BJ169" s="9">
        <v>12060</v>
      </c>
      <c r="BK169" s="9">
        <v>48044</v>
      </c>
      <c r="BL169" s="9">
        <v>0.19047919891335299</v>
      </c>
      <c r="BM169" s="19"/>
      <c r="BN169" s="19"/>
      <c r="BO169" s="19"/>
      <c r="BP169" s="19"/>
      <c r="BQ169" s="19"/>
      <c r="BR169" s="19"/>
      <c r="BS169" s="9" t="b">
        <v>1</v>
      </c>
      <c r="BT169" s="9">
        <v>12060</v>
      </c>
      <c r="BU169" s="9">
        <v>3084</v>
      </c>
      <c r="BV169" s="9">
        <v>22.425343513488802</v>
      </c>
      <c r="BW169" s="19"/>
      <c r="BX169" s="19"/>
      <c r="BY169" s="9">
        <v>22.799187660217299</v>
      </c>
      <c r="BZ169" s="9" t="s">
        <v>231</v>
      </c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9">
        <v>8260</v>
      </c>
      <c r="CP169" s="9">
        <v>4647</v>
      </c>
      <c r="CQ169" s="9">
        <v>317</v>
      </c>
      <c r="CR169" s="9">
        <v>212</v>
      </c>
      <c r="CS169" s="9">
        <v>3084</v>
      </c>
      <c r="CT169" s="9">
        <v>57020</v>
      </c>
      <c r="CU169" s="9">
        <v>46607</v>
      </c>
      <c r="CV169" s="9">
        <v>862</v>
      </c>
      <c r="CW169" s="9">
        <v>575</v>
      </c>
      <c r="CX169" s="9">
        <v>8976</v>
      </c>
    </row>
    <row r="170" spans="1:102" ht="16" customHeight="1" x14ac:dyDescent="0.2">
      <c r="A170" s="8" t="s">
        <v>44</v>
      </c>
      <c r="B170" s="9" t="s">
        <v>362</v>
      </c>
      <c r="C170" s="9" t="s">
        <v>227</v>
      </c>
      <c r="D170" s="9" t="s">
        <v>174</v>
      </c>
      <c r="E170" s="9" t="s">
        <v>228</v>
      </c>
      <c r="F170" s="9" t="s">
        <v>176</v>
      </c>
      <c r="G170" s="9">
        <v>0.5</v>
      </c>
      <c r="H170" s="9">
        <v>4</v>
      </c>
      <c r="I170" s="9" t="s">
        <v>177</v>
      </c>
      <c r="J170" s="9" t="s">
        <v>178</v>
      </c>
      <c r="K170" s="9" t="s">
        <v>179</v>
      </c>
      <c r="L170" s="9" t="s">
        <v>180</v>
      </c>
      <c r="M170" s="9">
        <v>5543</v>
      </c>
      <c r="N170" s="9">
        <v>0.79059350503919401</v>
      </c>
      <c r="O170" s="9">
        <v>0.17492566897918699</v>
      </c>
      <c r="P170" s="9">
        <v>0.286467843375938</v>
      </c>
      <c r="Q170" s="9">
        <v>35.93</v>
      </c>
      <c r="R170" s="9">
        <v>2621</v>
      </c>
      <c r="S170" s="9">
        <v>16783</v>
      </c>
      <c r="T170" s="9">
        <v>2859594</v>
      </c>
      <c r="U170" s="9">
        <v>177178</v>
      </c>
      <c r="V170" s="9">
        <v>3036772</v>
      </c>
      <c r="W170" s="9">
        <v>533</v>
      </c>
      <c r="X170" s="9">
        <v>2859594</v>
      </c>
      <c r="Y170" s="9">
        <v>177178</v>
      </c>
      <c r="Z170" s="9">
        <v>3036772</v>
      </c>
      <c r="AA170" s="9">
        <v>65280</v>
      </c>
      <c r="AB170" s="9">
        <v>51118</v>
      </c>
      <c r="AC170" s="9">
        <v>14162</v>
      </c>
      <c r="AD170" s="9">
        <v>0.21694240196078399</v>
      </c>
      <c r="AE170" s="9">
        <v>0.13600000000000001</v>
      </c>
      <c r="AF170" s="9">
        <v>35.537999999999997</v>
      </c>
      <c r="AG170" s="9">
        <v>8.0000000000000002E-3</v>
      </c>
      <c r="AH170" s="9">
        <v>0.248</v>
      </c>
      <c r="AI170" s="9">
        <v>7.2999999999999995E-2</v>
      </c>
      <c r="AJ170" s="9">
        <v>1.0999999999999999E-2</v>
      </c>
      <c r="AK170" s="9">
        <v>0.254</v>
      </c>
      <c r="AL170" s="9">
        <v>8.9999999999999993E-3</v>
      </c>
      <c r="AM170" s="9">
        <v>0</v>
      </c>
      <c r="AN170" s="9">
        <v>34.238</v>
      </c>
      <c r="AO170" s="9">
        <v>3.4000000000000002E-2</v>
      </c>
      <c r="AP170" s="9">
        <v>9.8000000000000004E-2</v>
      </c>
      <c r="AQ170" s="9">
        <v>7.3999999999999996E-2</v>
      </c>
      <c r="AR170" s="9">
        <v>2.8000000000000001E-2</v>
      </c>
      <c r="AS170" s="9">
        <v>4.8000000000000001E-2</v>
      </c>
      <c r="AT170" s="9">
        <v>7</v>
      </c>
      <c r="AU170" s="9">
        <v>13</v>
      </c>
      <c r="AV170" s="9" t="b">
        <v>1</v>
      </c>
      <c r="AW170" s="19"/>
      <c r="AX170" s="9" t="s">
        <v>229</v>
      </c>
      <c r="AY170" s="9">
        <v>1047</v>
      </c>
      <c r="AZ170" s="9">
        <v>231</v>
      </c>
      <c r="BA170" s="9">
        <v>816</v>
      </c>
      <c r="BB170" s="9">
        <v>0.3</v>
      </c>
      <c r="BC170" s="9">
        <v>0.3</v>
      </c>
      <c r="BD170" s="19"/>
      <c r="BE170" s="19"/>
      <c r="BF170" s="19"/>
      <c r="BG170" s="19"/>
      <c r="BH170" s="9" t="s">
        <v>230</v>
      </c>
      <c r="BI170" s="9">
        <v>1738</v>
      </c>
      <c r="BJ170" s="9">
        <v>14162</v>
      </c>
      <c r="BK170" s="9">
        <v>49380</v>
      </c>
      <c r="BL170" s="9">
        <v>0.226017012719641</v>
      </c>
      <c r="BM170" s="19"/>
      <c r="BN170" s="19"/>
      <c r="BO170" s="19"/>
      <c r="BP170" s="19"/>
      <c r="BQ170" s="19"/>
      <c r="BR170" s="19"/>
      <c r="BS170" s="9" t="b">
        <v>1</v>
      </c>
      <c r="BT170" s="9">
        <v>14162</v>
      </c>
      <c r="BU170" s="9">
        <v>4018</v>
      </c>
      <c r="BV170" s="9">
        <v>26.171239852905298</v>
      </c>
      <c r="BW170" s="19"/>
      <c r="BX170" s="19"/>
      <c r="BY170" s="9">
        <v>26.544063091278101</v>
      </c>
      <c r="BZ170" s="9" t="s">
        <v>231</v>
      </c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9">
        <v>5756</v>
      </c>
      <c r="CP170" s="9">
        <v>1159</v>
      </c>
      <c r="CQ170" s="9">
        <v>348</v>
      </c>
      <c r="CR170" s="9">
        <v>231</v>
      </c>
      <c r="CS170" s="9">
        <v>4018</v>
      </c>
      <c r="CT170" s="9">
        <v>59524</v>
      </c>
      <c r="CU170" s="9">
        <v>47338</v>
      </c>
      <c r="CV170" s="9">
        <v>1226</v>
      </c>
      <c r="CW170" s="9">
        <v>816</v>
      </c>
      <c r="CX170" s="9">
        <v>10144</v>
      </c>
    </row>
    <row r="171" spans="1:102" ht="16" customHeight="1" x14ac:dyDescent="0.2">
      <c r="A171" s="8" t="s">
        <v>44</v>
      </c>
      <c r="B171" s="9" t="s">
        <v>363</v>
      </c>
      <c r="C171" s="9" t="s">
        <v>227</v>
      </c>
      <c r="D171" s="9" t="s">
        <v>174</v>
      </c>
      <c r="E171" s="9" t="s">
        <v>228</v>
      </c>
      <c r="F171" s="9" t="s">
        <v>176</v>
      </c>
      <c r="G171" s="9">
        <v>0.5</v>
      </c>
      <c r="H171" s="9">
        <v>5</v>
      </c>
      <c r="I171" s="9" t="s">
        <v>177</v>
      </c>
      <c r="J171" s="9" t="s">
        <v>178</v>
      </c>
      <c r="K171" s="9" t="s">
        <v>179</v>
      </c>
      <c r="L171" s="9" t="s">
        <v>180</v>
      </c>
      <c r="M171" s="9">
        <v>5975</v>
      </c>
      <c r="N171" s="9">
        <v>0.78681318681318702</v>
      </c>
      <c r="O171" s="9">
        <v>0.17740336967294401</v>
      </c>
      <c r="P171" s="9">
        <v>0.28952689041649798</v>
      </c>
      <c r="Q171" s="9">
        <v>32.56</v>
      </c>
      <c r="R171" s="9">
        <v>3276</v>
      </c>
      <c r="S171" s="9">
        <v>15364</v>
      </c>
      <c r="T171" s="9">
        <v>2621125</v>
      </c>
      <c r="U171" s="9">
        <v>161544</v>
      </c>
      <c r="V171" s="9">
        <v>2782669</v>
      </c>
      <c r="W171" s="9">
        <v>488</v>
      </c>
      <c r="X171" s="9">
        <v>2621125</v>
      </c>
      <c r="Y171" s="9">
        <v>161544</v>
      </c>
      <c r="Z171" s="9">
        <v>2782669</v>
      </c>
      <c r="AA171" s="9">
        <v>65280</v>
      </c>
      <c r="AB171" s="9">
        <v>53192</v>
      </c>
      <c r="AC171" s="9">
        <v>12088</v>
      </c>
      <c r="AD171" s="9">
        <v>0.18517156862745099</v>
      </c>
      <c r="AE171" s="9">
        <v>0.13400000000000001</v>
      </c>
      <c r="AF171" s="9">
        <v>32.17</v>
      </c>
      <c r="AG171" s="9">
        <v>1.0999999999999999E-2</v>
      </c>
      <c r="AH171" s="9">
        <v>0.245</v>
      </c>
      <c r="AI171" s="9">
        <v>7.8E-2</v>
      </c>
      <c r="AJ171" s="9">
        <v>1.0999999999999999E-2</v>
      </c>
      <c r="AK171" s="9">
        <v>0.26200000000000001</v>
      </c>
      <c r="AL171" s="9">
        <v>8.9999999999999993E-3</v>
      </c>
      <c r="AM171" s="9">
        <v>0</v>
      </c>
      <c r="AN171" s="9">
        <v>30.815999999999999</v>
      </c>
      <c r="AO171" s="9">
        <v>3.4000000000000002E-2</v>
      </c>
      <c r="AP171" s="9">
        <v>9.8000000000000004E-2</v>
      </c>
      <c r="AQ171" s="9">
        <v>7.1999999999999995E-2</v>
      </c>
      <c r="AR171" s="9">
        <v>2.8000000000000001E-2</v>
      </c>
      <c r="AS171" s="9">
        <v>4.7E-2</v>
      </c>
      <c r="AT171" s="9">
        <v>7</v>
      </c>
      <c r="AU171" s="9">
        <v>13</v>
      </c>
      <c r="AV171" s="9" t="b">
        <v>1</v>
      </c>
      <c r="AW171" s="19"/>
      <c r="AX171" s="9" t="s">
        <v>229</v>
      </c>
      <c r="AY171" s="9">
        <v>1309</v>
      </c>
      <c r="AZ171" s="9">
        <v>300</v>
      </c>
      <c r="BA171" s="9">
        <v>1009</v>
      </c>
      <c r="BB171" s="9">
        <v>0.3</v>
      </c>
      <c r="BC171" s="9">
        <v>0.3</v>
      </c>
      <c r="BD171" s="19"/>
      <c r="BE171" s="19"/>
      <c r="BF171" s="19"/>
      <c r="BG171" s="19"/>
      <c r="BH171" s="9" t="s">
        <v>230</v>
      </c>
      <c r="BI171" s="9">
        <v>2648</v>
      </c>
      <c r="BJ171" s="9">
        <v>12088</v>
      </c>
      <c r="BK171" s="9">
        <v>50544</v>
      </c>
      <c r="BL171" s="9">
        <v>0.194955164182956</v>
      </c>
      <c r="BM171" s="19"/>
      <c r="BN171" s="19"/>
      <c r="BO171" s="19"/>
      <c r="BP171" s="19"/>
      <c r="BQ171" s="19"/>
      <c r="BR171" s="19"/>
      <c r="BS171" s="9" t="b">
        <v>1</v>
      </c>
      <c r="BT171" s="9">
        <v>12088</v>
      </c>
      <c r="BU171" s="9">
        <v>3559</v>
      </c>
      <c r="BV171" s="9">
        <v>21.311439037323002</v>
      </c>
      <c r="BW171" s="19"/>
      <c r="BX171" s="19"/>
      <c r="BY171" s="9">
        <v>21.695048332214402</v>
      </c>
      <c r="BZ171" s="9" t="s">
        <v>231</v>
      </c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9">
        <v>6207</v>
      </c>
      <c r="CP171" s="9">
        <v>1894</v>
      </c>
      <c r="CQ171" s="9">
        <v>454</v>
      </c>
      <c r="CR171" s="9">
        <v>300</v>
      </c>
      <c r="CS171" s="9">
        <v>3559</v>
      </c>
      <c r="CT171" s="9">
        <v>59073</v>
      </c>
      <c r="CU171" s="9">
        <v>48022</v>
      </c>
      <c r="CV171" s="9">
        <v>1513</v>
      </c>
      <c r="CW171" s="9">
        <v>1009</v>
      </c>
      <c r="CX171" s="9">
        <v>8529</v>
      </c>
    </row>
    <row r="172" spans="1:102" s="32" customFormat="1" ht="16" customHeight="1" x14ac:dyDescent="0.2">
      <c r="A172" s="30" t="s">
        <v>44</v>
      </c>
      <c r="B172" s="29" t="s">
        <v>364</v>
      </c>
      <c r="C172" s="29" t="s">
        <v>227</v>
      </c>
      <c r="D172" s="29" t="s">
        <v>174</v>
      </c>
      <c r="E172" s="29" t="s">
        <v>228</v>
      </c>
      <c r="F172" s="29" t="s">
        <v>176</v>
      </c>
      <c r="G172" s="29">
        <v>0.5</v>
      </c>
      <c r="H172" s="29">
        <v>6</v>
      </c>
      <c r="I172" s="29" t="s">
        <v>177</v>
      </c>
      <c r="J172" s="29" t="s">
        <v>178</v>
      </c>
      <c r="K172" s="29" t="s">
        <v>179</v>
      </c>
      <c r="L172" s="29" t="s">
        <v>180</v>
      </c>
      <c r="M172" s="29">
        <v>6391</v>
      </c>
      <c r="N172" s="29">
        <v>0.80189673340358303</v>
      </c>
      <c r="O172" s="29">
        <v>0.18855302279484601</v>
      </c>
      <c r="P172" s="29">
        <v>0.305315947843531</v>
      </c>
      <c r="Q172" s="29">
        <v>33.26</v>
      </c>
      <c r="R172" s="29">
        <v>3932</v>
      </c>
      <c r="S172" s="29">
        <v>15212</v>
      </c>
      <c r="T172" s="29">
        <v>2653350</v>
      </c>
      <c r="U172" s="29">
        <v>162710</v>
      </c>
      <c r="V172" s="29">
        <v>2816060</v>
      </c>
      <c r="W172" s="29">
        <v>483</v>
      </c>
      <c r="X172" s="29">
        <v>2653350</v>
      </c>
      <c r="Y172" s="29">
        <v>162710</v>
      </c>
      <c r="Z172" s="29">
        <v>2816060</v>
      </c>
      <c r="AA172" s="29">
        <v>65280</v>
      </c>
      <c r="AB172" s="29">
        <v>54000</v>
      </c>
      <c r="AC172" s="29">
        <v>11280</v>
      </c>
      <c r="AD172" s="29">
        <v>0.17279411764705899</v>
      </c>
      <c r="AE172" s="29">
        <v>0.13500000000000001</v>
      </c>
      <c r="AF172" s="29">
        <v>32.832999999999998</v>
      </c>
      <c r="AG172" s="29">
        <v>1.2E-2</v>
      </c>
      <c r="AH172" s="29">
        <v>0.28299999999999997</v>
      </c>
      <c r="AI172" s="29">
        <v>7.6999999999999999E-2</v>
      </c>
      <c r="AJ172" s="29">
        <v>0.01</v>
      </c>
      <c r="AK172" s="29">
        <v>0.253</v>
      </c>
      <c r="AL172" s="29">
        <v>8.9999999999999993E-3</v>
      </c>
      <c r="AM172" s="29">
        <v>0</v>
      </c>
      <c r="AN172" s="29">
        <v>31.498000000000001</v>
      </c>
      <c r="AO172" s="29">
        <v>3.5000000000000003E-2</v>
      </c>
      <c r="AP172" s="29">
        <v>0.107</v>
      </c>
      <c r="AQ172" s="29">
        <v>8.5000000000000006E-2</v>
      </c>
      <c r="AR172" s="29">
        <v>3.4000000000000002E-2</v>
      </c>
      <c r="AS172" s="29">
        <v>5.7000000000000002E-2</v>
      </c>
      <c r="AT172" s="29">
        <v>7</v>
      </c>
      <c r="AU172" s="29">
        <v>13</v>
      </c>
      <c r="AV172" s="29" t="b">
        <v>1</v>
      </c>
      <c r="AW172" s="31"/>
      <c r="AX172" s="29" t="s">
        <v>229</v>
      </c>
      <c r="AY172" s="29">
        <v>1572</v>
      </c>
      <c r="AZ172" s="29">
        <v>418</v>
      </c>
      <c r="BA172" s="29">
        <v>1154</v>
      </c>
      <c r="BB172" s="29">
        <v>0.3</v>
      </c>
      <c r="BC172" s="29">
        <v>0.3</v>
      </c>
      <c r="BD172" s="31"/>
      <c r="BE172" s="31"/>
      <c r="BF172" s="31"/>
      <c r="BG172" s="31"/>
      <c r="BH172" s="29" t="s">
        <v>230</v>
      </c>
      <c r="BI172" s="29">
        <v>3827</v>
      </c>
      <c r="BJ172" s="29">
        <v>11280</v>
      </c>
      <c r="BK172" s="29">
        <v>50173</v>
      </c>
      <c r="BL172" s="29">
        <v>0.183869074786464</v>
      </c>
      <c r="BM172" s="31"/>
      <c r="BN172" s="31"/>
      <c r="BO172" s="31"/>
      <c r="BP172" s="31"/>
      <c r="BQ172" s="31"/>
      <c r="BR172" s="31"/>
      <c r="BS172" s="29" t="b">
        <v>1</v>
      </c>
      <c r="BT172" s="29">
        <v>11280</v>
      </c>
      <c r="BU172" s="29">
        <v>2814</v>
      </c>
      <c r="BV172" s="29">
        <v>21.20063996315</v>
      </c>
      <c r="BW172" s="31"/>
      <c r="BX172" s="31"/>
      <c r="BY172" s="29">
        <v>21.599015951156598</v>
      </c>
      <c r="BZ172" s="29" t="s">
        <v>231</v>
      </c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29">
        <v>6641</v>
      </c>
      <c r="CP172" s="29">
        <v>2783</v>
      </c>
      <c r="CQ172" s="29">
        <v>626</v>
      </c>
      <c r="CR172" s="29">
        <v>418</v>
      </c>
      <c r="CS172" s="29">
        <v>2814</v>
      </c>
      <c r="CT172" s="29">
        <v>58639</v>
      </c>
      <c r="CU172" s="29">
        <v>47285</v>
      </c>
      <c r="CV172" s="29">
        <v>1734</v>
      </c>
      <c r="CW172" s="29">
        <v>1154</v>
      </c>
      <c r="CX172" s="29">
        <v>8466</v>
      </c>
    </row>
    <row r="173" spans="1:102" ht="16" customHeight="1" x14ac:dyDescent="0.2">
      <c r="A173" s="8" t="s">
        <v>44</v>
      </c>
      <c r="B173" s="9" t="s">
        <v>365</v>
      </c>
      <c r="C173" s="9" t="s">
        <v>227</v>
      </c>
      <c r="D173" s="9" t="s">
        <v>174</v>
      </c>
      <c r="E173" s="9" t="s">
        <v>228</v>
      </c>
      <c r="F173" s="9" t="s">
        <v>176</v>
      </c>
      <c r="G173" s="9">
        <v>0.5</v>
      </c>
      <c r="H173" s="9">
        <v>7</v>
      </c>
      <c r="I173" s="9" t="s">
        <v>177</v>
      </c>
      <c r="J173" s="9" t="s">
        <v>178</v>
      </c>
      <c r="K173" s="9" t="s">
        <v>179</v>
      </c>
      <c r="L173" s="9" t="s">
        <v>180</v>
      </c>
      <c r="M173" s="9">
        <v>4732</v>
      </c>
      <c r="N173" s="9">
        <v>0.84237726098191201</v>
      </c>
      <c r="O173" s="9">
        <v>0.16154608523290401</v>
      </c>
      <c r="P173" s="9">
        <v>0.27110187110187101</v>
      </c>
      <c r="Q173" s="9">
        <v>23.64</v>
      </c>
      <c r="R173" s="9">
        <v>4587</v>
      </c>
      <c r="S173" s="9">
        <v>11385</v>
      </c>
      <c r="T173" s="9">
        <v>2001166</v>
      </c>
      <c r="U173" s="9">
        <v>103620</v>
      </c>
      <c r="V173" s="9">
        <v>2104786</v>
      </c>
      <c r="W173" s="9">
        <v>363</v>
      </c>
      <c r="X173" s="9">
        <v>2001166</v>
      </c>
      <c r="Y173" s="9">
        <v>103620</v>
      </c>
      <c r="Z173" s="9">
        <v>2104786</v>
      </c>
      <c r="AA173" s="9">
        <v>65280</v>
      </c>
      <c r="AB173" s="9">
        <v>58482</v>
      </c>
      <c r="AC173" s="9">
        <v>6798</v>
      </c>
      <c r="AD173" s="9">
        <v>0.104136029411765</v>
      </c>
      <c r="AE173" s="9">
        <v>0.13800000000000001</v>
      </c>
      <c r="AF173" s="9">
        <v>23.196000000000002</v>
      </c>
      <c r="AG173" s="9">
        <v>1.6E-2</v>
      </c>
      <c r="AH173" s="9">
        <v>0.29299999999999998</v>
      </c>
      <c r="AI173" s="9">
        <v>7.5999999999999998E-2</v>
      </c>
      <c r="AJ173" s="9">
        <v>1.2E-2</v>
      </c>
      <c r="AK173" s="9">
        <v>0.27400000000000002</v>
      </c>
      <c r="AL173" s="9">
        <v>8.9999999999999993E-3</v>
      </c>
      <c r="AM173" s="9">
        <v>0</v>
      </c>
      <c r="AN173" s="9">
        <v>21.831</v>
      </c>
      <c r="AO173" s="9">
        <v>2.9000000000000001E-2</v>
      </c>
      <c r="AP173" s="9">
        <v>0.107</v>
      </c>
      <c r="AQ173" s="9">
        <v>8.7999999999999995E-2</v>
      </c>
      <c r="AR173" s="9">
        <v>3.9E-2</v>
      </c>
      <c r="AS173" s="9">
        <v>5.8999999999999997E-2</v>
      </c>
      <c r="AT173" s="9">
        <v>8</v>
      </c>
      <c r="AU173" s="9">
        <v>13</v>
      </c>
      <c r="AV173" s="9" t="b">
        <v>1</v>
      </c>
      <c r="AW173" s="19"/>
      <c r="AX173" s="9" t="s">
        <v>229</v>
      </c>
      <c r="AY173" s="9">
        <v>1833</v>
      </c>
      <c r="AZ173" s="9">
        <v>472</v>
      </c>
      <c r="BA173" s="9">
        <v>1361</v>
      </c>
      <c r="BB173" s="9">
        <v>0.3</v>
      </c>
      <c r="BC173" s="9">
        <v>0.3</v>
      </c>
      <c r="BD173" s="19"/>
      <c r="BE173" s="19"/>
      <c r="BF173" s="19"/>
      <c r="BG173" s="19"/>
      <c r="BH173" s="9" t="s">
        <v>230</v>
      </c>
      <c r="BI173" s="9">
        <v>1455</v>
      </c>
      <c r="BJ173" s="9">
        <v>6798</v>
      </c>
      <c r="BK173" s="9">
        <v>57027</v>
      </c>
      <c r="BL173" s="9">
        <v>0.112006326924027</v>
      </c>
      <c r="BM173" s="19"/>
      <c r="BN173" s="19"/>
      <c r="BO173" s="19"/>
      <c r="BP173" s="19"/>
      <c r="BQ173" s="19"/>
      <c r="BR173" s="19"/>
      <c r="BS173" s="9" t="b">
        <v>1</v>
      </c>
      <c r="BT173" s="9">
        <v>6798</v>
      </c>
      <c r="BU173" s="9">
        <v>3349</v>
      </c>
      <c r="BV173" s="9">
        <v>10.3655107021332</v>
      </c>
      <c r="BW173" s="19"/>
      <c r="BX173" s="19"/>
      <c r="BY173" s="9">
        <v>10.748310804367099</v>
      </c>
      <c r="BZ173" s="9" t="s">
        <v>231</v>
      </c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9">
        <v>4804</v>
      </c>
      <c r="CP173" s="9">
        <v>274</v>
      </c>
      <c r="CQ173" s="9">
        <v>709</v>
      </c>
      <c r="CR173" s="9">
        <v>472</v>
      </c>
      <c r="CS173" s="9">
        <v>3349</v>
      </c>
      <c r="CT173" s="9">
        <v>60476</v>
      </c>
      <c r="CU173" s="9">
        <v>53621</v>
      </c>
      <c r="CV173" s="9">
        <v>2045</v>
      </c>
      <c r="CW173" s="9">
        <v>1361</v>
      </c>
      <c r="CX173" s="9">
        <v>3449</v>
      </c>
    </row>
    <row r="174" spans="1:102" ht="16" customHeight="1" x14ac:dyDescent="0.2">
      <c r="A174" s="8" t="s">
        <v>44</v>
      </c>
      <c r="B174" s="9" t="s">
        <v>366</v>
      </c>
      <c r="C174" s="9" t="s">
        <v>227</v>
      </c>
      <c r="D174" s="9" t="s">
        <v>174</v>
      </c>
      <c r="E174" s="9" t="s">
        <v>228</v>
      </c>
      <c r="F174" s="9" t="s">
        <v>176</v>
      </c>
      <c r="G174" s="9">
        <v>0.5</v>
      </c>
      <c r="H174" s="9">
        <v>8</v>
      </c>
      <c r="I174" s="9" t="s">
        <v>177</v>
      </c>
      <c r="J174" s="9" t="s">
        <v>178</v>
      </c>
      <c r="K174" s="9" t="s">
        <v>179</v>
      </c>
      <c r="L174" s="9" t="s">
        <v>180</v>
      </c>
      <c r="M174" s="9">
        <v>4633</v>
      </c>
      <c r="N174" s="9">
        <v>0.81978319783197795</v>
      </c>
      <c r="O174" s="9">
        <v>0.14990089197225001</v>
      </c>
      <c r="P174" s="9">
        <v>0.25345622119815697</v>
      </c>
      <c r="Q174" s="9">
        <v>24.32</v>
      </c>
      <c r="R174" s="9">
        <v>5242</v>
      </c>
      <c r="S174" s="9">
        <v>10916</v>
      </c>
      <c r="T174" s="9">
        <v>1909580</v>
      </c>
      <c r="U174" s="9">
        <v>108450</v>
      </c>
      <c r="V174" s="9">
        <v>2018030</v>
      </c>
      <c r="W174" s="9">
        <v>348</v>
      </c>
      <c r="X174" s="9">
        <v>1909580</v>
      </c>
      <c r="Y174" s="9">
        <v>108450</v>
      </c>
      <c r="Z174" s="9">
        <v>2018030</v>
      </c>
      <c r="AA174" s="9">
        <v>65280</v>
      </c>
      <c r="AB174" s="9">
        <v>59606</v>
      </c>
      <c r="AC174" s="9">
        <v>5674</v>
      </c>
      <c r="AD174" s="9">
        <v>8.69178921568627E-2</v>
      </c>
      <c r="AE174" s="9">
        <v>0.13800000000000001</v>
      </c>
      <c r="AF174" s="9">
        <v>23.92</v>
      </c>
      <c r="AG174" s="9">
        <v>1.0999999999999999E-2</v>
      </c>
      <c r="AH174" s="9">
        <v>0.253</v>
      </c>
      <c r="AI174" s="9">
        <v>7.3999999999999996E-2</v>
      </c>
      <c r="AJ174" s="9">
        <v>1.2E-2</v>
      </c>
      <c r="AK174" s="9">
        <v>0.26700000000000002</v>
      </c>
      <c r="AL174" s="9">
        <v>8.9999999999999993E-3</v>
      </c>
      <c r="AM174" s="9">
        <v>0</v>
      </c>
      <c r="AN174" s="9">
        <v>22.556999999999999</v>
      </c>
      <c r="AO174" s="9">
        <v>0.03</v>
      </c>
      <c r="AP174" s="9">
        <v>9.8000000000000004E-2</v>
      </c>
      <c r="AQ174" s="9">
        <v>7.2999999999999995E-2</v>
      </c>
      <c r="AR174" s="9">
        <v>3.3000000000000002E-2</v>
      </c>
      <c r="AS174" s="9">
        <v>4.9000000000000002E-2</v>
      </c>
      <c r="AT174" s="9">
        <v>8</v>
      </c>
      <c r="AU174" s="9">
        <v>13</v>
      </c>
      <c r="AV174" s="9" t="b">
        <v>1</v>
      </c>
      <c r="AW174" s="19"/>
      <c r="AX174" s="9" t="s">
        <v>229</v>
      </c>
      <c r="AY174" s="9">
        <v>2097</v>
      </c>
      <c r="AZ174" s="9">
        <v>630</v>
      </c>
      <c r="BA174" s="9">
        <v>1467</v>
      </c>
      <c r="BB174" s="9">
        <v>0.3</v>
      </c>
      <c r="BC174" s="9">
        <v>0.3</v>
      </c>
      <c r="BD174" s="19"/>
      <c r="BE174" s="19"/>
      <c r="BF174" s="19"/>
      <c r="BG174" s="19"/>
      <c r="BH174" s="9" t="s">
        <v>230</v>
      </c>
      <c r="BI174" s="9">
        <v>2732</v>
      </c>
      <c r="BJ174" s="9">
        <v>5674</v>
      </c>
      <c r="BK174" s="9">
        <v>56874</v>
      </c>
      <c r="BL174" s="9">
        <v>9.4506812352177005E-2</v>
      </c>
      <c r="BM174" s="19"/>
      <c r="BN174" s="19"/>
      <c r="BO174" s="19"/>
      <c r="BP174" s="19"/>
      <c r="BQ174" s="19"/>
      <c r="BR174" s="19"/>
      <c r="BS174" s="9" t="b">
        <v>1</v>
      </c>
      <c r="BT174" s="9">
        <v>5674</v>
      </c>
      <c r="BU174" s="9">
        <v>1985</v>
      </c>
      <c r="BV174" s="9">
        <v>9.5897617340087908</v>
      </c>
      <c r="BW174" s="19"/>
      <c r="BX174" s="19"/>
      <c r="BY174" s="9">
        <v>9.98942375183106</v>
      </c>
      <c r="BZ174" s="9" t="s">
        <v>231</v>
      </c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9">
        <v>4717</v>
      </c>
      <c r="CP174" s="9">
        <v>1158</v>
      </c>
      <c r="CQ174" s="9">
        <v>944</v>
      </c>
      <c r="CR174" s="9">
        <v>630</v>
      </c>
      <c r="CS174" s="9">
        <v>1985</v>
      </c>
      <c r="CT174" s="9">
        <v>60563</v>
      </c>
      <c r="CU174" s="9">
        <v>53206</v>
      </c>
      <c r="CV174" s="9">
        <v>2201</v>
      </c>
      <c r="CW174" s="9">
        <v>1467</v>
      </c>
      <c r="CX174" s="9">
        <v>3689</v>
      </c>
    </row>
    <row r="175" spans="1:102" ht="16" customHeight="1" x14ac:dyDescent="0.2">
      <c r="A175" s="8" t="s">
        <v>44</v>
      </c>
      <c r="B175" s="9" t="s">
        <v>367</v>
      </c>
      <c r="C175" s="9" t="s">
        <v>227</v>
      </c>
      <c r="D175" s="9" t="s">
        <v>174</v>
      </c>
      <c r="E175" s="9" t="s">
        <v>228</v>
      </c>
      <c r="F175" s="9" t="s">
        <v>176</v>
      </c>
      <c r="G175" s="9">
        <v>0.5</v>
      </c>
      <c r="H175" s="9">
        <v>9</v>
      </c>
      <c r="I175" s="9" t="s">
        <v>177</v>
      </c>
      <c r="J175" s="9" t="s">
        <v>178</v>
      </c>
      <c r="K175" s="9" t="s">
        <v>179</v>
      </c>
      <c r="L175" s="9" t="s">
        <v>180</v>
      </c>
      <c r="M175" s="9">
        <v>4821</v>
      </c>
      <c r="N175" s="9">
        <v>0.81747066492829201</v>
      </c>
      <c r="O175" s="9">
        <v>0.155351833498513</v>
      </c>
      <c r="P175" s="9">
        <v>0.26108682073703898</v>
      </c>
      <c r="Q175" s="9">
        <v>25.04</v>
      </c>
      <c r="R175" s="9">
        <v>5898</v>
      </c>
      <c r="S175" s="9">
        <v>11361</v>
      </c>
      <c r="T175" s="9">
        <v>1999338</v>
      </c>
      <c r="U175" s="9">
        <v>115080</v>
      </c>
      <c r="V175" s="9">
        <v>2114418</v>
      </c>
      <c r="W175" s="9">
        <v>361</v>
      </c>
      <c r="X175" s="9">
        <v>1999338</v>
      </c>
      <c r="Y175" s="9">
        <v>115080</v>
      </c>
      <c r="Z175" s="9">
        <v>2114418</v>
      </c>
      <c r="AA175" s="9">
        <v>65280</v>
      </c>
      <c r="AB175" s="9">
        <v>59817</v>
      </c>
      <c r="AC175" s="9">
        <v>5463</v>
      </c>
      <c r="AD175" s="9">
        <v>8.3685661764705904E-2</v>
      </c>
      <c r="AE175" s="9">
        <v>0.13600000000000001</v>
      </c>
      <c r="AF175" s="9">
        <v>24.631</v>
      </c>
      <c r="AG175" s="9">
        <v>1.4999999999999999E-2</v>
      </c>
      <c r="AH175" s="9">
        <v>0.253</v>
      </c>
      <c r="AI175" s="9">
        <v>7.1999999999999995E-2</v>
      </c>
      <c r="AJ175" s="9">
        <v>1.0999999999999999E-2</v>
      </c>
      <c r="AK175" s="9">
        <v>0.25900000000000001</v>
      </c>
      <c r="AL175" s="9">
        <v>8.9999999999999993E-3</v>
      </c>
      <c r="AM175" s="9">
        <v>0</v>
      </c>
      <c r="AN175" s="9">
        <v>23.274999999999999</v>
      </c>
      <c r="AO175" s="9">
        <v>2.8000000000000001E-2</v>
      </c>
      <c r="AP175" s="9">
        <v>9.7000000000000003E-2</v>
      </c>
      <c r="AQ175" s="9">
        <v>7.8E-2</v>
      </c>
      <c r="AR175" s="9">
        <v>3.1E-2</v>
      </c>
      <c r="AS175" s="9">
        <v>4.7E-2</v>
      </c>
      <c r="AT175" s="9">
        <v>8</v>
      </c>
      <c r="AU175" s="9">
        <v>13</v>
      </c>
      <c r="AV175" s="9" t="b">
        <v>1</v>
      </c>
      <c r="AW175" s="19"/>
      <c r="AX175" s="9" t="s">
        <v>229</v>
      </c>
      <c r="AY175" s="9">
        <v>2360</v>
      </c>
      <c r="AZ175" s="9">
        <v>683</v>
      </c>
      <c r="BA175" s="9">
        <v>1677</v>
      </c>
      <c r="BB175" s="9">
        <v>0.3</v>
      </c>
      <c r="BC175" s="9">
        <v>0.3</v>
      </c>
      <c r="BD175" s="19"/>
      <c r="BE175" s="19"/>
      <c r="BF175" s="19"/>
      <c r="BG175" s="19"/>
      <c r="BH175" s="9" t="s">
        <v>230</v>
      </c>
      <c r="BI175" s="9">
        <v>3121</v>
      </c>
      <c r="BJ175" s="9">
        <v>5463</v>
      </c>
      <c r="BK175" s="9">
        <v>56696</v>
      </c>
      <c r="BL175" s="9">
        <v>9.1997575022734202E-2</v>
      </c>
      <c r="BM175" s="19"/>
      <c r="BN175" s="19"/>
      <c r="BO175" s="19"/>
      <c r="BP175" s="19"/>
      <c r="BQ175" s="19"/>
      <c r="BR175" s="19"/>
      <c r="BS175" s="9" t="b">
        <v>1</v>
      </c>
      <c r="BT175" s="9">
        <v>5463</v>
      </c>
      <c r="BU175" s="9">
        <v>1794</v>
      </c>
      <c r="BV175" s="9">
        <v>9.3083961009979301</v>
      </c>
      <c r="BW175" s="19"/>
      <c r="BX175" s="19"/>
      <c r="BY175" s="9">
        <v>9.6976130008697492</v>
      </c>
      <c r="BZ175" s="9" t="s">
        <v>231</v>
      </c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9">
        <v>4915</v>
      </c>
      <c r="CP175" s="9">
        <v>1416</v>
      </c>
      <c r="CQ175" s="9">
        <v>1022</v>
      </c>
      <c r="CR175" s="9">
        <v>683</v>
      </c>
      <c r="CS175" s="9">
        <v>1794</v>
      </c>
      <c r="CT175" s="9">
        <v>60365</v>
      </c>
      <c r="CU175" s="9">
        <v>52503</v>
      </c>
      <c r="CV175" s="9">
        <v>2516</v>
      </c>
      <c r="CW175" s="9">
        <v>1677</v>
      </c>
      <c r="CX175" s="9">
        <v>3669</v>
      </c>
    </row>
    <row r="176" spans="1:102" ht="16" customHeight="1" x14ac:dyDescent="0.2">
      <c r="A176" s="8" t="s">
        <v>44</v>
      </c>
      <c r="B176" s="9" t="s">
        <v>368</v>
      </c>
      <c r="C176" s="9" t="s">
        <v>227</v>
      </c>
      <c r="D176" s="9" t="s">
        <v>174</v>
      </c>
      <c r="E176" s="9" t="s">
        <v>228</v>
      </c>
      <c r="F176" s="9" t="s">
        <v>176</v>
      </c>
      <c r="G176" s="9">
        <v>0.5</v>
      </c>
      <c r="H176" s="9">
        <v>10</v>
      </c>
      <c r="I176" s="9" t="s">
        <v>177</v>
      </c>
      <c r="J176" s="9" t="s">
        <v>178</v>
      </c>
      <c r="K176" s="9" t="s">
        <v>179</v>
      </c>
      <c r="L176" s="9" t="s">
        <v>180</v>
      </c>
      <c r="M176" s="9">
        <v>4997</v>
      </c>
      <c r="N176" s="9">
        <v>0.848370927318296</v>
      </c>
      <c r="O176" s="9">
        <v>0.16774033696729401</v>
      </c>
      <c r="P176" s="9">
        <v>0.28009929664873801</v>
      </c>
      <c r="Q176" s="9">
        <v>26.79</v>
      </c>
      <c r="R176" s="9">
        <v>6553</v>
      </c>
      <c r="S176" s="9">
        <v>12178</v>
      </c>
      <c r="T176" s="9">
        <v>2136117</v>
      </c>
      <c r="U176" s="9">
        <v>116154</v>
      </c>
      <c r="V176" s="9">
        <v>2252271</v>
      </c>
      <c r="W176" s="9">
        <v>386</v>
      </c>
      <c r="X176" s="9">
        <v>2136117</v>
      </c>
      <c r="Y176" s="9">
        <v>116154</v>
      </c>
      <c r="Z176" s="9">
        <v>2252271</v>
      </c>
      <c r="AA176" s="9">
        <v>65280</v>
      </c>
      <c r="AB176" s="9">
        <v>59655</v>
      </c>
      <c r="AC176" s="9">
        <v>5625</v>
      </c>
      <c r="AD176" s="9">
        <v>8.6167279411764705E-2</v>
      </c>
      <c r="AE176" s="9">
        <v>0.13600000000000001</v>
      </c>
      <c r="AF176" s="9">
        <v>26.382000000000001</v>
      </c>
      <c r="AG176" s="9">
        <v>1.6E-2</v>
      </c>
      <c r="AH176" s="9">
        <v>0.25600000000000001</v>
      </c>
      <c r="AI176" s="9">
        <v>7.1999999999999995E-2</v>
      </c>
      <c r="AJ176" s="9">
        <v>0.01</v>
      </c>
      <c r="AK176" s="9">
        <v>0.248</v>
      </c>
      <c r="AL176" s="9">
        <v>8.9999999999999993E-3</v>
      </c>
      <c r="AM176" s="9">
        <v>0</v>
      </c>
      <c r="AN176" s="9">
        <v>25.013000000000002</v>
      </c>
      <c r="AO176" s="9">
        <v>3.2000000000000001E-2</v>
      </c>
      <c r="AP176" s="9">
        <v>9.8000000000000004E-2</v>
      </c>
      <c r="AQ176" s="9">
        <v>7.5999999999999998E-2</v>
      </c>
      <c r="AR176" s="9">
        <v>3.3000000000000002E-2</v>
      </c>
      <c r="AS176" s="9">
        <v>4.9000000000000002E-2</v>
      </c>
      <c r="AT176" s="9">
        <v>8</v>
      </c>
      <c r="AU176" s="9">
        <v>13</v>
      </c>
      <c r="AV176" s="9" t="b">
        <v>1</v>
      </c>
      <c r="AW176" s="19"/>
      <c r="AX176" s="9" t="s">
        <v>229</v>
      </c>
      <c r="AY176" s="9">
        <v>2621</v>
      </c>
      <c r="AZ176" s="9">
        <v>688</v>
      </c>
      <c r="BA176" s="9">
        <v>1933</v>
      </c>
      <c r="BB176" s="9">
        <v>0.3</v>
      </c>
      <c r="BC176" s="9">
        <v>0.3</v>
      </c>
      <c r="BD176" s="19"/>
      <c r="BE176" s="19"/>
      <c r="BF176" s="19"/>
      <c r="BG176" s="19"/>
      <c r="BH176" s="9" t="s">
        <v>230</v>
      </c>
      <c r="BI176" s="9">
        <v>2346</v>
      </c>
      <c r="BJ176" s="9">
        <v>5625</v>
      </c>
      <c r="BK176" s="9">
        <v>57309</v>
      </c>
      <c r="BL176" s="9">
        <v>9.5782178555008798E-2</v>
      </c>
      <c r="BM176" s="19"/>
      <c r="BN176" s="19"/>
      <c r="BO176" s="19"/>
      <c r="BP176" s="19"/>
      <c r="BQ176" s="19"/>
      <c r="BR176" s="19"/>
      <c r="BS176" s="9" t="b">
        <v>1</v>
      </c>
      <c r="BT176" s="9">
        <v>5625</v>
      </c>
      <c r="BU176" s="9">
        <v>2745</v>
      </c>
      <c r="BV176" s="9">
        <v>8.7467997074127197</v>
      </c>
      <c r="BW176" s="19"/>
      <c r="BX176" s="19"/>
      <c r="BY176" s="9">
        <v>9.13643622398377</v>
      </c>
      <c r="BZ176" s="9" t="s">
        <v>231</v>
      </c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9">
        <v>5091</v>
      </c>
      <c r="CP176" s="9">
        <v>626</v>
      </c>
      <c r="CQ176" s="9">
        <v>1032</v>
      </c>
      <c r="CR176" s="9">
        <v>688</v>
      </c>
      <c r="CS176" s="9">
        <v>2745</v>
      </c>
      <c r="CT176" s="9">
        <v>60189</v>
      </c>
      <c r="CU176" s="9">
        <v>52476</v>
      </c>
      <c r="CV176" s="9">
        <v>2900</v>
      </c>
      <c r="CW176" s="9">
        <v>1933</v>
      </c>
      <c r="CX176" s="9">
        <v>2880</v>
      </c>
    </row>
    <row r="177" spans="1:102" ht="16" customHeight="1" x14ac:dyDescent="0.2">
      <c r="A177" s="8" t="s">
        <v>44</v>
      </c>
      <c r="B177" s="9" t="s">
        <v>369</v>
      </c>
      <c r="C177" s="9" t="s">
        <v>242</v>
      </c>
      <c r="D177" s="9" t="s">
        <v>174</v>
      </c>
      <c r="E177" s="9" t="s">
        <v>175</v>
      </c>
      <c r="F177" s="9" t="s">
        <v>176</v>
      </c>
      <c r="G177" s="9">
        <v>0.5</v>
      </c>
      <c r="H177" s="9">
        <v>1</v>
      </c>
      <c r="I177" s="9" t="s">
        <v>177</v>
      </c>
      <c r="J177" s="9" t="s">
        <v>178</v>
      </c>
      <c r="K177" s="9" t="s">
        <v>179</v>
      </c>
      <c r="L177" s="9" t="s">
        <v>180</v>
      </c>
      <c r="M177" s="9">
        <v>456</v>
      </c>
      <c r="N177" s="9">
        <v>0.77192982456140402</v>
      </c>
      <c r="O177" s="9">
        <v>1.09018830525273E-2</v>
      </c>
      <c r="P177" s="9">
        <v>2.1500122159785001E-2</v>
      </c>
      <c r="Q177" s="9">
        <v>10.220000000000001</v>
      </c>
      <c r="R177" s="9">
        <v>655</v>
      </c>
      <c r="S177" s="9">
        <v>655</v>
      </c>
      <c r="T177" s="9">
        <v>113091</v>
      </c>
      <c r="U177" s="9">
        <v>3368</v>
      </c>
      <c r="V177" s="9">
        <v>116459</v>
      </c>
      <c r="W177" s="9">
        <v>41</v>
      </c>
      <c r="X177" s="9">
        <v>113091</v>
      </c>
      <c r="Y177" s="9">
        <v>3368</v>
      </c>
      <c r="Z177" s="9">
        <v>116459</v>
      </c>
      <c r="AA177" s="9">
        <v>65280</v>
      </c>
      <c r="AB177" s="9">
        <v>65280</v>
      </c>
      <c r="AC177" s="9">
        <v>0</v>
      </c>
      <c r="AD177" s="9">
        <v>0</v>
      </c>
      <c r="AE177" s="9">
        <v>0.13500000000000001</v>
      </c>
      <c r="AF177" s="9">
        <v>9.968</v>
      </c>
      <c r="AG177" s="9">
        <v>8.0000000000000002E-3</v>
      </c>
      <c r="AH177" s="9">
        <v>0.104</v>
      </c>
      <c r="AI177" s="9">
        <v>7.5999999999999998E-2</v>
      </c>
      <c r="AJ177" s="9">
        <v>0</v>
      </c>
      <c r="AK177" s="9">
        <v>0.249</v>
      </c>
      <c r="AL177" s="9">
        <v>0</v>
      </c>
      <c r="AM177" s="9">
        <v>4.657</v>
      </c>
      <c r="AN177" s="9">
        <v>4.9059999999999997</v>
      </c>
      <c r="AO177" s="9">
        <v>1.6E-2</v>
      </c>
      <c r="AP177" s="9">
        <v>0.104</v>
      </c>
      <c r="AQ177" s="9">
        <v>0</v>
      </c>
      <c r="AR177" s="9">
        <v>0</v>
      </c>
      <c r="AS177" s="9">
        <v>0</v>
      </c>
      <c r="AT177" s="9" t="s">
        <v>243</v>
      </c>
      <c r="AU177" s="9" t="s">
        <v>243</v>
      </c>
      <c r="AV177" s="9" t="b">
        <v>0</v>
      </c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</row>
    <row r="178" spans="1:102" ht="16" customHeight="1" x14ac:dyDescent="0.2">
      <c r="A178" s="8" t="s">
        <v>44</v>
      </c>
      <c r="B178" s="9" t="s">
        <v>370</v>
      </c>
      <c r="C178" s="9" t="s">
        <v>242</v>
      </c>
      <c r="D178" s="9" t="s">
        <v>174</v>
      </c>
      <c r="E178" s="9" t="s">
        <v>175</v>
      </c>
      <c r="F178" s="9" t="s">
        <v>176</v>
      </c>
      <c r="G178" s="9">
        <v>0.5</v>
      </c>
      <c r="H178" s="9">
        <v>2</v>
      </c>
      <c r="I178" s="9" t="s">
        <v>177</v>
      </c>
      <c r="J178" s="9" t="s">
        <v>178</v>
      </c>
      <c r="K178" s="9" t="s">
        <v>179</v>
      </c>
      <c r="L178" s="9" t="s">
        <v>180</v>
      </c>
      <c r="M178" s="9">
        <v>632</v>
      </c>
      <c r="N178" s="9">
        <v>0.835443037974684</v>
      </c>
      <c r="O178" s="9">
        <v>1.6352824578790899E-2</v>
      </c>
      <c r="P178" s="9">
        <v>3.2077764277035202E-2</v>
      </c>
      <c r="Q178" s="9">
        <v>20.85</v>
      </c>
      <c r="R178" s="9">
        <v>1310</v>
      </c>
      <c r="S178" s="9">
        <v>1310</v>
      </c>
      <c r="T178" s="9">
        <v>230165</v>
      </c>
      <c r="U178" s="9">
        <v>8724</v>
      </c>
      <c r="V178" s="9">
        <v>238889</v>
      </c>
      <c r="W178" s="9">
        <v>82</v>
      </c>
      <c r="X178" s="9">
        <v>230165</v>
      </c>
      <c r="Y178" s="9">
        <v>8724</v>
      </c>
      <c r="Z178" s="9">
        <v>238889</v>
      </c>
      <c r="AA178" s="9">
        <v>65280</v>
      </c>
      <c r="AB178" s="9">
        <v>65280</v>
      </c>
      <c r="AC178" s="9">
        <v>0</v>
      </c>
      <c r="AD178" s="9">
        <v>0</v>
      </c>
      <c r="AE178" s="9">
        <v>0.13400000000000001</v>
      </c>
      <c r="AF178" s="9">
        <v>20.606999999999999</v>
      </c>
      <c r="AG178" s="9">
        <v>8.9999999999999993E-3</v>
      </c>
      <c r="AH178" s="9">
        <v>9.8000000000000004E-2</v>
      </c>
      <c r="AI178" s="9">
        <v>7.3999999999999996E-2</v>
      </c>
      <c r="AJ178" s="9">
        <v>0</v>
      </c>
      <c r="AK178" s="9">
        <v>0.25</v>
      </c>
      <c r="AL178" s="9">
        <v>0</v>
      </c>
      <c r="AM178" s="9">
        <v>9.6519999999999992</v>
      </c>
      <c r="AN178" s="9">
        <v>10.510999999999999</v>
      </c>
      <c r="AO178" s="9">
        <v>1.4999999999999999E-2</v>
      </c>
      <c r="AP178" s="9">
        <v>9.8000000000000004E-2</v>
      </c>
      <c r="AQ178" s="9">
        <v>0</v>
      </c>
      <c r="AR178" s="9">
        <v>0</v>
      </c>
      <c r="AS178" s="9">
        <v>0</v>
      </c>
      <c r="AT178" s="9" t="s">
        <v>243</v>
      </c>
      <c r="AU178" s="9" t="s">
        <v>243</v>
      </c>
      <c r="AV178" s="9" t="b">
        <v>0</v>
      </c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</row>
    <row r="179" spans="1:102" ht="16" customHeight="1" x14ac:dyDescent="0.2">
      <c r="A179" s="8" t="s">
        <v>44</v>
      </c>
      <c r="B179" s="9" t="s">
        <v>371</v>
      </c>
      <c r="C179" s="9" t="s">
        <v>242</v>
      </c>
      <c r="D179" s="9" t="s">
        <v>174</v>
      </c>
      <c r="E179" s="9" t="s">
        <v>175</v>
      </c>
      <c r="F179" s="9" t="s">
        <v>176</v>
      </c>
      <c r="G179" s="9">
        <v>0.5</v>
      </c>
      <c r="H179" s="9">
        <v>3</v>
      </c>
      <c r="I179" s="9" t="s">
        <v>177</v>
      </c>
      <c r="J179" s="9" t="s">
        <v>178</v>
      </c>
      <c r="K179" s="9" t="s">
        <v>179</v>
      </c>
      <c r="L179" s="9" t="s">
        <v>180</v>
      </c>
      <c r="M179" s="9">
        <v>1192</v>
      </c>
      <c r="N179" s="9">
        <v>0.89932885906040305</v>
      </c>
      <c r="O179" s="9">
        <v>3.3201189296332999E-2</v>
      </c>
      <c r="P179" s="9">
        <v>6.4038231780167307E-2</v>
      </c>
      <c r="Q179" s="9">
        <v>29.45</v>
      </c>
      <c r="R179" s="9">
        <v>1966</v>
      </c>
      <c r="S179" s="9">
        <v>1966</v>
      </c>
      <c r="T179" s="9">
        <v>359616</v>
      </c>
      <c r="U179" s="9">
        <v>10932</v>
      </c>
      <c r="V179" s="9">
        <v>370548</v>
      </c>
      <c r="W179" s="9">
        <v>123</v>
      </c>
      <c r="X179" s="9">
        <v>359616</v>
      </c>
      <c r="Y179" s="9">
        <v>10932</v>
      </c>
      <c r="Z179" s="9">
        <v>370548</v>
      </c>
      <c r="AA179" s="9">
        <v>65280</v>
      </c>
      <c r="AB179" s="9">
        <v>65280</v>
      </c>
      <c r="AC179" s="9">
        <v>0</v>
      </c>
      <c r="AD179" s="9">
        <v>0</v>
      </c>
      <c r="AE179" s="9">
        <v>0.13500000000000001</v>
      </c>
      <c r="AF179" s="9">
        <v>29.196000000000002</v>
      </c>
      <c r="AG179" s="9">
        <v>1.2999999999999999E-2</v>
      </c>
      <c r="AH179" s="9">
        <v>0.107</v>
      </c>
      <c r="AI179" s="9">
        <v>7.3999999999999996E-2</v>
      </c>
      <c r="AJ179" s="9">
        <v>0</v>
      </c>
      <c r="AK179" s="9">
        <v>0.249</v>
      </c>
      <c r="AL179" s="9">
        <v>0</v>
      </c>
      <c r="AM179" s="9">
        <v>14.565</v>
      </c>
      <c r="AN179" s="9">
        <v>14.212999999999999</v>
      </c>
      <c r="AO179" s="9">
        <v>0.02</v>
      </c>
      <c r="AP179" s="9">
        <v>0.107</v>
      </c>
      <c r="AQ179" s="9">
        <v>0</v>
      </c>
      <c r="AR179" s="9">
        <v>0</v>
      </c>
      <c r="AS179" s="9">
        <v>0</v>
      </c>
      <c r="AT179" s="9" t="s">
        <v>243</v>
      </c>
      <c r="AU179" s="9" t="s">
        <v>243</v>
      </c>
      <c r="AV179" s="9" t="b">
        <v>0</v>
      </c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</row>
    <row r="180" spans="1:102" ht="16" customHeight="1" x14ac:dyDescent="0.2">
      <c r="A180" s="8" t="s">
        <v>44</v>
      </c>
      <c r="B180" s="9" t="s">
        <v>372</v>
      </c>
      <c r="C180" s="9" t="s">
        <v>242</v>
      </c>
      <c r="D180" s="9" t="s">
        <v>174</v>
      </c>
      <c r="E180" s="9" t="s">
        <v>175</v>
      </c>
      <c r="F180" s="9" t="s">
        <v>176</v>
      </c>
      <c r="G180" s="9">
        <v>0.5</v>
      </c>
      <c r="H180" s="9">
        <v>4</v>
      </c>
      <c r="I180" s="9" t="s">
        <v>177</v>
      </c>
      <c r="J180" s="9" t="s">
        <v>178</v>
      </c>
      <c r="K180" s="9" t="s">
        <v>179</v>
      </c>
      <c r="L180" s="9" t="s">
        <v>180</v>
      </c>
      <c r="M180" s="9">
        <v>1616</v>
      </c>
      <c r="N180" s="9">
        <v>0.93564356435643603</v>
      </c>
      <c r="O180" s="9">
        <v>4.6828543111992103E-2</v>
      </c>
      <c r="P180" s="9">
        <v>8.9193015573383702E-2</v>
      </c>
      <c r="Q180" s="9">
        <v>39.64</v>
      </c>
      <c r="R180" s="9">
        <v>2621</v>
      </c>
      <c r="S180" s="9">
        <v>2621</v>
      </c>
      <c r="T180" s="9">
        <v>479016</v>
      </c>
      <c r="U180" s="9">
        <v>15336</v>
      </c>
      <c r="V180" s="9">
        <v>494352</v>
      </c>
      <c r="W180" s="9">
        <v>164</v>
      </c>
      <c r="X180" s="9">
        <v>479016</v>
      </c>
      <c r="Y180" s="9">
        <v>15336</v>
      </c>
      <c r="Z180" s="9">
        <v>494352</v>
      </c>
      <c r="AA180" s="9">
        <v>65280</v>
      </c>
      <c r="AB180" s="9">
        <v>65280</v>
      </c>
      <c r="AC180" s="9">
        <v>0</v>
      </c>
      <c r="AD180" s="9">
        <v>0</v>
      </c>
      <c r="AE180" s="9">
        <v>0.13700000000000001</v>
      </c>
      <c r="AF180" s="9">
        <v>39.390999999999998</v>
      </c>
      <c r="AG180" s="9">
        <v>8.9999999999999993E-3</v>
      </c>
      <c r="AH180" s="9">
        <v>0.105</v>
      </c>
      <c r="AI180" s="9">
        <v>7.3999999999999996E-2</v>
      </c>
      <c r="AJ180" s="9">
        <v>0</v>
      </c>
      <c r="AK180" s="9">
        <v>0.248</v>
      </c>
      <c r="AL180" s="9">
        <v>0</v>
      </c>
      <c r="AM180" s="9">
        <v>19.603000000000002</v>
      </c>
      <c r="AN180" s="9">
        <v>19.376999999999999</v>
      </c>
      <c r="AO180" s="9">
        <v>2.4E-2</v>
      </c>
      <c r="AP180" s="9">
        <v>0.105</v>
      </c>
      <c r="AQ180" s="9">
        <v>0</v>
      </c>
      <c r="AR180" s="9">
        <v>0</v>
      </c>
      <c r="AS180" s="9">
        <v>0</v>
      </c>
      <c r="AT180" s="9" t="s">
        <v>243</v>
      </c>
      <c r="AU180" s="9" t="s">
        <v>243</v>
      </c>
      <c r="AV180" s="9" t="b">
        <v>0</v>
      </c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</row>
    <row r="181" spans="1:102" ht="16" customHeight="1" x14ac:dyDescent="0.2">
      <c r="A181" s="8" t="s">
        <v>44</v>
      </c>
      <c r="B181" s="9" t="s">
        <v>373</v>
      </c>
      <c r="C181" s="9" t="s">
        <v>242</v>
      </c>
      <c r="D181" s="9" t="s">
        <v>174</v>
      </c>
      <c r="E181" s="9" t="s">
        <v>175</v>
      </c>
      <c r="F181" s="9" t="s">
        <v>176</v>
      </c>
      <c r="G181" s="9">
        <v>0.5</v>
      </c>
      <c r="H181" s="9">
        <v>5</v>
      </c>
      <c r="I181" s="9" t="s">
        <v>177</v>
      </c>
      <c r="J181" s="9" t="s">
        <v>178</v>
      </c>
      <c r="K181" s="9" t="s">
        <v>179</v>
      </c>
      <c r="L181" s="9" t="s">
        <v>180</v>
      </c>
      <c r="M181" s="9">
        <v>2440</v>
      </c>
      <c r="N181" s="9">
        <v>0.89180327868852505</v>
      </c>
      <c r="O181" s="9">
        <v>6.7393458870168496E-2</v>
      </c>
      <c r="P181" s="9">
        <v>0.12531674729325001</v>
      </c>
      <c r="Q181" s="9">
        <v>49.28</v>
      </c>
      <c r="R181" s="9">
        <v>3276</v>
      </c>
      <c r="S181" s="9">
        <v>3276</v>
      </c>
      <c r="T181" s="9">
        <v>569392</v>
      </c>
      <c r="U181" s="9">
        <v>18284</v>
      </c>
      <c r="V181" s="9">
        <v>587676</v>
      </c>
      <c r="W181" s="9">
        <v>205</v>
      </c>
      <c r="X181" s="9">
        <v>569392</v>
      </c>
      <c r="Y181" s="9">
        <v>18284</v>
      </c>
      <c r="Z181" s="9">
        <v>587676</v>
      </c>
      <c r="AA181" s="9">
        <v>65280</v>
      </c>
      <c r="AB181" s="9">
        <v>65280</v>
      </c>
      <c r="AC181" s="9">
        <v>0</v>
      </c>
      <c r="AD181" s="9">
        <v>0</v>
      </c>
      <c r="AE181" s="9">
        <v>0.13300000000000001</v>
      </c>
      <c r="AF181" s="9">
        <v>49.03</v>
      </c>
      <c r="AG181" s="9">
        <v>1.4E-2</v>
      </c>
      <c r="AH181" s="9">
        <v>0.107</v>
      </c>
      <c r="AI181" s="9">
        <v>6.8000000000000005E-2</v>
      </c>
      <c r="AJ181" s="9">
        <v>0</v>
      </c>
      <c r="AK181" s="9">
        <v>0.24399999999999999</v>
      </c>
      <c r="AL181" s="9">
        <v>0</v>
      </c>
      <c r="AM181" s="9">
        <v>24.901</v>
      </c>
      <c r="AN181" s="9">
        <v>23.719000000000001</v>
      </c>
      <c r="AO181" s="9">
        <v>2.8000000000000001E-2</v>
      </c>
      <c r="AP181" s="9">
        <v>0.107</v>
      </c>
      <c r="AQ181" s="9">
        <v>0</v>
      </c>
      <c r="AR181" s="9">
        <v>0</v>
      </c>
      <c r="AS181" s="9">
        <v>0</v>
      </c>
      <c r="AT181" s="9" t="s">
        <v>243</v>
      </c>
      <c r="AU181" s="9" t="s">
        <v>243</v>
      </c>
      <c r="AV181" s="9" t="b">
        <v>0</v>
      </c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</row>
    <row r="182" spans="1:102" s="32" customFormat="1" ht="16" customHeight="1" x14ac:dyDescent="0.2">
      <c r="A182" s="30" t="s">
        <v>44</v>
      </c>
      <c r="B182" s="29" t="s">
        <v>374</v>
      </c>
      <c r="C182" s="29" t="s">
        <v>242</v>
      </c>
      <c r="D182" s="29" t="s">
        <v>174</v>
      </c>
      <c r="E182" s="29" t="s">
        <v>175</v>
      </c>
      <c r="F182" s="29" t="s">
        <v>176</v>
      </c>
      <c r="G182" s="29">
        <v>0.5</v>
      </c>
      <c r="H182" s="29">
        <v>6</v>
      </c>
      <c r="I182" s="29" t="s">
        <v>177</v>
      </c>
      <c r="J182" s="29" t="s">
        <v>178</v>
      </c>
      <c r="K182" s="29" t="s">
        <v>179</v>
      </c>
      <c r="L182" s="29" t="s">
        <v>180</v>
      </c>
      <c r="M182" s="29">
        <v>2616</v>
      </c>
      <c r="N182" s="29">
        <v>0.94495412844036697</v>
      </c>
      <c r="O182" s="29">
        <v>7.6560951437066399E-2</v>
      </c>
      <c r="P182" s="29">
        <v>0.14164565665826301</v>
      </c>
      <c r="Q182" s="29">
        <v>58.3</v>
      </c>
      <c r="R182" s="29">
        <v>3932</v>
      </c>
      <c r="S182" s="29">
        <v>3932</v>
      </c>
      <c r="T182" s="29">
        <v>710238</v>
      </c>
      <c r="U182" s="29">
        <v>20184</v>
      </c>
      <c r="V182" s="29">
        <v>730422</v>
      </c>
      <c r="W182" s="29">
        <v>246</v>
      </c>
      <c r="X182" s="29">
        <v>710238</v>
      </c>
      <c r="Y182" s="29">
        <v>20184</v>
      </c>
      <c r="Z182" s="29">
        <v>730422</v>
      </c>
      <c r="AA182" s="29">
        <v>65280</v>
      </c>
      <c r="AB182" s="29">
        <v>65280</v>
      </c>
      <c r="AC182" s="29">
        <v>0</v>
      </c>
      <c r="AD182" s="29">
        <v>0</v>
      </c>
      <c r="AE182" s="29">
        <v>0.13300000000000001</v>
      </c>
      <c r="AF182" s="29">
        <v>58.039000000000001</v>
      </c>
      <c r="AG182" s="29">
        <v>1.7000000000000001E-2</v>
      </c>
      <c r="AH182" s="29">
        <v>0.108</v>
      </c>
      <c r="AI182" s="29">
        <v>7.0000000000000007E-2</v>
      </c>
      <c r="AJ182" s="29">
        <v>0</v>
      </c>
      <c r="AK182" s="29">
        <v>0.26100000000000001</v>
      </c>
      <c r="AL182" s="29">
        <v>0</v>
      </c>
      <c r="AM182" s="29">
        <v>30.678000000000001</v>
      </c>
      <c r="AN182" s="29">
        <v>26.934999999999999</v>
      </c>
      <c r="AO182" s="29">
        <v>2.7E-2</v>
      </c>
      <c r="AP182" s="29">
        <v>0.108</v>
      </c>
      <c r="AQ182" s="29">
        <v>0</v>
      </c>
      <c r="AR182" s="29">
        <v>0</v>
      </c>
      <c r="AS182" s="29">
        <v>0</v>
      </c>
      <c r="AT182" s="29" t="s">
        <v>243</v>
      </c>
      <c r="AU182" s="29" t="s">
        <v>243</v>
      </c>
      <c r="AV182" s="29" t="b">
        <v>0</v>
      </c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</row>
    <row r="183" spans="1:102" ht="16" customHeight="1" x14ac:dyDescent="0.2">
      <c r="A183" s="8" t="s">
        <v>44</v>
      </c>
      <c r="B183" s="9" t="s">
        <v>375</v>
      </c>
      <c r="C183" s="9" t="s">
        <v>242</v>
      </c>
      <c r="D183" s="9" t="s">
        <v>174</v>
      </c>
      <c r="E183" s="9" t="s">
        <v>175</v>
      </c>
      <c r="F183" s="9" t="s">
        <v>176</v>
      </c>
      <c r="G183" s="9">
        <v>0.5</v>
      </c>
      <c r="H183" s="9">
        <v>7</v>
      </c>
      <c r="I183" s="9" t="s">
        <v>177</v>
      </c>
      <c r="J183" s="9" t="s">
        <v>178</v>
      </c>
      <c r="K183" s="9" t="s">
        <v>179</v>
      </c>
      <c r="L183" s="9" t="s">
        <v>180</v>
      </c>
      <c r="M183" s="9">
        <v>3192</v>
      </c>
      <c r="N183" s="9">
        <v>0.91478696741854604</v>
      </c>
      <c r="O183" s="9">
        <v>9.04360753221011E-2</v>
      </c>
      <c r="P183" s="9">
        <v>0.164599774520857</v>
      </c>
      <c r="Q183" s="9">
        <v>70.37</v>
      </c>
      <c r="R183" s="9">
        <v>4587</v>
      </c>
      <c r="S183" s="9">
        <v>4587</v>
      </c>
      <c r="T183" s="9">
        <v>803123</v>
      </c>
      <c r="U183" s="9">
        <v>27276</v>
      </c>
      <c r="V183" s="9">
        <v>830399</v>
      </c>
      <c r="W183" s="9">
        <v>287</v>
      </c>
      <c r="X183" s="9">
        <v>803123</v>
      </c>
      <c r="Y183" s="9">
        <v>27276</v>
      </c>
      <c r="Z183" s="9">
        <v>830399</v>
      </c>
      <c r="AA183" s="9">
        <v>65280</v>
      </c>
      <c r="AB183" s="9">
        <v>65280</v>
      </c>
      <c r="AC183" s="9">
        <v>0</v>
      </c>
      <c r="AD183" s="9">
        <v>0</v>
      </c>
      <c r="AE183" s="9">
        <v>0.13600000000000001</v>
      </c>
      <c r="AF183" s="9">
        <v>70.106999999999999</v>
      </c>
      <c r="AG183" s="9">
        <v>2.1000000000000001E-2</v>
      </c>
      <c r="AH183" s="9">
        <v>0.107</v>
      </c>
      <c r="AI183" s="9">
        <v>6.9000000000000006E-2</v>
      </c>
      <c r="AJ183" s="9">
        <v>0</v>
      </c>
      <c r="AK183" s="9">
        <v>0.26800000000000002</v>
      </c>
      <c r="AL183" s="9">
        <v>0</v>
      </c>
      <c r="AM183" s="9">
        <v>35.64</v>
      </c>
      <c r="AN183" s="9">
        <v>34.018999999999998</v>
      </c>
      <c r="AO183" s="9">
        <v>0.03</v>
      </c>
      <c r="AP183" s="9">
        <v>0.107</v>
      </c>
      <c r="AQ183" s="9">
        <v>0</v>
      </c>
      <c r="AR183" s="9">
        <v>0</v>
      </c>
      <c r="AS183" s="9">
        <v>0</v>
      </c>
      <c r="AT183" s="9" t="s">
        <v>243</v>
      </c>
      <c r="AU183" s="9" t="s">
        <v>243</v>
      </c>
      <c r="AV183" s="9" t="b">
        <v>0</v>
      </c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</row>
    <row r="184" spans="1:102" ht="16" customHeight="1" x14ac:dyDescent="0.2">
      <c r="A184" s="8" t="s">
        <v>44</v>
      </c>
      <c r="B184" s="9" t="s">
        <v>376</v>
      </c>
      <c r="C184" s="9" t="s">
        <v>242</v>
      </c>
      <c r="D184" s="9" t="s">
        <v>174</v>
      </c>
      <c r="E184" s="9" t="s">
        <v>175</v>
      </c>
      <c r="F184" s="9" t="s">
        <v>176</v>
      </c>
      <c r="G184" s="9">
        <v>0.5</v>
      </c>
      <c r="H184" s="9">
        <v>8</v>
      </c>
      <c r="I184" s="9" t="s">
        <v>177</v>
      </c>
      <c r="J184" s="9" t="s">
        <v>178</v>
      </c>
      <c r="K184" s="9" t="s">
        <v>179</v>
      </c>
      <c r="L184" s="9" t="s">
        <v>180</v>
      </c>
      <c r="M184" s="9">
        <v>3216</v>
      </c>
      <c r="N184" s="9">
        <v>0.97014925373134298</v>
      </c>
      <c r="O184" s="9">
        <v>9.6630327056491605E-2</v>
      </c>
      <c r="P184" s="9">
        <v>0.175754844524561</v>
      </c>
      <c r="Q184" s="9">
        <v>79.31</v>
      </c>
      <c r="R184" s="9">
        <v>5242</v>
      </c>
      <c r="S184" s="9">
        <v>5242</v>
      </c>
      <c r="T184" s="9">
        <v>940899</v>
      </c>
      <c r="U184" s="9">
        <v>28166</v>
      </c>
      <c r="V184" s="9">
        <v>969065</v>
      </c>
      <c r="W184" s="9">
        <v>328</v>
      </c>
      <c r="X184" s="9">
        <v>940899</v>
      </c>
      <c r="Y184" s="9">
        <v>28166</v>
      </c>
      <c r="Z184" s="9">
        <v>969065</v>
      </c>
      <c r="AA184" s="9">
        <v>65280</v>
      </c>
      <c r="AB184" s="9">
        <v>65280</v>
      </c>
      <c r="AC184" s="9">
        <v>0</v>
      </c>
      <c r="AD184" s="9">
        <v>0</v>
      </c>
      <c r="AE184" s="9">
        <v>0.13800000000000001</v>
      </c>
      <c r="AF184" s="9">
        <v>79.049000000000007</v>
      </c>
      <c r="AG184" s="9">
        <v>2.4E-2</v>
      </c>
      <c r="AH184" s="9">
        <v>9.7000000000000003E-2</v>
      </c>
      <c r="AI184" s="9">
        <v>7.3999999999999996E-2</v>
      </c>
      <c r="AJ184" s="9">
        <v>0</v>
      </c>
      <c r="AK184" s="9">
        <v>0.251</v>
      </c>
      <c r="AL184" s="9">
        <v>0</v>
      </c>
      <c r="AM184" s="9">
        <v>41.398000000000003</v>
      </c>
      <c r="AN184" s="9">
        <v>37.228000000000002</v>
      </c>
      <c r="AO184" s="9">
        <v>2.4E-2</v>
      </c>
      <c r="AP184" s="9">
        <v>9.7000000000000003E-2</v>
      </c>
      <c r="AQ184" s="9">
        <v>0</v>
      </c>
      <c r="AR184" s="9">
        <v>0</v>
      </c>
      <c r="AS184" s="9">
        <v>0</v>
      </c>
      <c r="AT184" s="9" t="s">
        <v>243</v>
      </c>
      <c r="AU184" s="9" t="s">
        <v>243</v>
      </c>
      <c r="AV184" s="9" t="b">
        <v>0</v>
      </c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</row>
    <row r="185" spans="1:102" ht="16" customHeight="1" x14ac:dyDescent="0.2">
      <c r="A185" s="8" t="s">
        <v>44</v>
      </c>
      <c r="B185" s="9" t="s">
        <v>377</v>
      </c>
      <c r="C185" s="9" t="s">
        <v>242</v>
      </c>
      <c r="D185" s="9" t="s">
        <v>174</v>
      </c>
      <c r="E185" s="9" t="s">
        <v>175</v>
      </c>
      <c r="F185" s="9" t="s">
        <v>176</v>
      </c>
      <c r="G185" s="9">
        <v>0.5</v>
      </c>
      <c r="H185" s="9">
        <v>9</v>
      </c>
      <c r="I185" s="9" t="s">
        <v>177</v>
      </c>
      <c r="J185" s="9" t="s">
        <v>178</v>
      </c>
      <c r="K185" s="9" t="s">
        <v>179</v>
      </c>
      <c r="L185" s="9" t="s">
        <v>180</v>
      </c>
      <c r="M185" s="9">
        <v>3208</v>
      </c>
      <c r="N185" s="9">
        <v>0.99251870324189495</v>
      </c>
      <c r="O185" s="9">
        <v>9.8612487611496505E-2</v>
      </c>
      <c r="P185" s="9">
        <v>0.17940049583051601</v>
      </c>
      <c r="Q185" s="9">
        <v>91.79</v>
      </c>
      <c r="R185" s="9">
        <v>5898</v>
      </c>
      <c r="S185" s="9">
        <v>5898</v>
      </c>
      <c r="T185" s="9">
        <v>1054082</v>
      </c>
      <c r="U185" s="9">
        <v>35260</v>
      </c>
      <c r="V185" s="9">
        <v>1089342</v>
      </c>
      <c r="W185" s="9">
        <v>369</v>
      </c>
      <c r="X185" s="9">
        <v>1054082</v>
      </c>
      <c r="Y185" s="9">
        <v>35260</v>
      </c>
      <c r="Z185" s="9">
        <v>1089342</v>
      </c>
      <c r="AA185" s="9">
        <v>65280</v>
      </c>
      <c r="AB185" s="9">
        <v>65280</v>
      </c>
      <c r="AC185" s="9">
        <v>0</v>
      </c>
      <c r="AD185" s="9">
        <v>0</v>
      </c>
      <c r="AE185" s="9">
        <v>0.13500000000000001</v>
      </c>
      <c r="AF185" s="9">
        <v>91.516000000000005</v>
      </c>
      <c r="AG185" s="9">
        <v>2.9000000000000001E-2</v>
      </c>
      <c r="AH185" s="9">
        <v>0.107</v>
      </c>
      <c r="AI185" s="9">
        <v>6.9000000000000006E-2</v>
      </c>
      <c r="AJ185" s="9">
        <v>0</v>
      </c>
      <c r="AK185" s="9">
        <v>0.248</v>
      </c>
      <c r="AL185" s="9">
        <v>0</v>
      </c>
      <c r="AM185" s="9">
        <v>47.054000000000002</v>
      </c>
      <c r="AN185" s="9">
        <v>44.031999999999996</v>
      </c>
      <c r="AO185" s="9">
        <v>0.03</v>
      </c>
      <c r="AP185" s="9">
        <v>0.107</v>
      </c>
      <c r="AQ185" s="9">
        <v>0</v>
      </c>
      <c r="AR185" s="9">
        <v>0</v>
      </c>
      <c r="AS185" s="9">
        <v>0</v>
      </c>
      <c r="AT185" s="9" t="s">
        <v>243</v>
      </c>
      <c r="AU185" s="9" t="s">
        <v>243</v>
      </c>
      <c r="AV185" s="9" t="b">
        <v>0</v>
      </c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</row>
    <row r="186" spans="1:102" ht="16" customHeight="1" x14ac:dyDescent="0.2">
      <c r="A186" s="8" t="s">
        <v>44</v>
      </c>
      <c r="B186" s="9" t="s">
        <v>378</v>
      </c>
      <c r="C186" s="9" t="s">
        <v>242</v>
      </c>
      <c r="D186" s="9" t="s">
        <v>174</v>
      </c>
      <c r="E186" s="9" t="s">
        <v>175</v>
      </c>
      <c r="F186" s="9" t="s">
        <v>176</v>
      </c>
      <c r="G186" s="9">
        <v>0.5</v>
      </c>
      <c r="H186" s="9">
        <v>10</v>
      </c>
      <c r="I186" s="9" t="s">
        <v>177</v>
      </c>
      <c r="J186" s="9" t="s">
        <v>178</v>
      </c>
      <c r="K186" s="9" t="s">
        <v>179</v>
      </c>
      <c r="L186" s="9" t="s">
        <v>180</v>
      </c>
      <c r="M186" s="9">
        <v>3496</v>
      </c>
      <c r="N186" s="9">
        <v>0.92448512585812403</v>
      </c>
      <c r="O186" s="9">
        <v>0.10009910802775</v>
      </c>
      <c r="P186" s="9">
        <v>0.18063939190699799</v>
      </c>
      <c r="Q186" s="9">
        <v>105.4</v>
      </c>
      <c r="R186" s="9">
        <v>6553</v>
      </c>
      <c r="S186" s="9">
        <v>6553</v>
      </c>
      <c r="T186" s="9">
        <v>1169816</v>
      </c>
      <c r="U186" s="9">
        <v>44466</v>
      </c>
      <c r="V186" s="9">
        <v>1214282</v>
      </c>
      <c r="W186" s="9">
        <v>410</v>
      </c>
      <c r="X186" s="9">
        <v>1169816</v>
      </c>
      <c r="Y186" s="9">
        <v>44466</v>
      </c>
      <c r="Z186" s="9">
        <v>1214282</v>
      </c>
      <c r="AA186" s="9">
        <v>65280</v>
      </c>
      <c r="AB186" s="9">
        <v>65280</v>
      </c>
      <c r="AC186" s="9">
        <v>0</v>
      </c>
      <c r="AD186" s="9">
        <v>0</v>
      </c>
      <c r="AE186" s="9">
        <v>0.13700000000000001</v>
      </c>
      <c r="AF186" s="9">
        <v>105.124</v>
      </c>
      <c r="AG186" s="9">
        <v>3.7999999999999999E-2</v>
      </c>
      <c r="AH186" s="9">
        <v>0.105</v>
      </c>
      <c r="AI186" s="9">
        <v>6.9000000000000006E-2</v>
      </c>
      <c r="AJ186" s="9">
        <v>0</v>
      </c>
      <c r="AK186" s="9">
        <v>0.251</v>
      </c>
      <c r="AL186" s="9">
        <v>0</v>
      </c>
      <c r="AM186" s="9">
        <v>52.5</v>
      </c>
      <c r="AN186" s="9">
        <v>52.189</v>
      </c>
      <c r="AO186" s="9">
        <v>3.2000000000000001E-2</v>
      </c>
      <c r="AP186" s="9">
        <v>0.105</v>
      </c>
      <c r="AQ186" s="9">
        <v>0</v>
      </c>
      <c r="AR186" s="9">
        <v>0</v>
      </c>
      <c r="AS186" s="9">
        <v>0</v>
      </c>
      <c r="AT186" s="9" t="s">
        <v>243</v>
      </c>
      <c r="AU186" s="9" t="s">
        <v>243</v>
      </c>
      <c r="AV186" s="9" t="b">
        <v>0</v>
      </c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</row>
    <row r="187" spans="1:102" ht="16" customHeight="1" x14ac:dyDescent="0.2">
      <c r="A187" s="8" t="s">
        <v>44</v>
      </c>
      <c r="B187" s="9" t="s">
        <v>379</v>
      </c>
      <c r="C187" s="9" t="s">
        <v>254</v>
      </c>
      <c r="D187" s="9" t="s">
        <v>174</v>
      </c>
      <c r="E187" s="9" t="s">
        <v>187</v>
      </c>
      <c r="F187" s="9" t="s">
        <v>176</v>
      </c>
      <c r="G187" s="9">
        <v>0.5</v>
      </c>
      <c r="H187" s="9">
        <v>1</v>
      </c>
      <c r="I187" s="9" t="s">
        <v>177</v>
      </c>
      <c r="J187" s="9" t="s">
        <v>178</v>
      </c>
      <c r="K187" s="9" t="s">
        <v>179</v>
      </c>
      <c r="L187" s="9" t="s">
        <v>180</v>
      </c>
      <c r="M187" s="9">
        <v>16975</v>
      </c>
      <c r="N187" s="9">
        <v>0.54553903345724897</v>
      </c>
      <c r="O187" s="9">
        <v>0.29088206144697698</v>
      </c>
      <c r="P187" s="9">
        <v>0.37944408532643797</v>
      </c>
      <c r="Q187" s="9">
        <v>3.58</v>
      </c>
      <c r="R187" s="9">
        <v>655</v>
      </c>
      <c r="S187" s="9">
        <v>655</v>
      </c>
      <c r="T187" s="9">
        <v>109362</v>
      </c>
      <c r="U187" s="9">
        <v>8380</v>
      </c>
      <c r="V187" s="9">
        <v>117742</v>
      </c>
      <c r="W187" s="9">
        <v>21</v>
      </c>
      <c r="X187" s="9">
        <v>109362</v>
      </c>
      <c r="Y187" s="9">
        <v>8380</v>
      </c>
      <c r="Z187" s="9">
        <v>117742</v>
      </c>
      <c r="AA187" s="9">
        <v>65280</v>
      </c>
      <c r="AB187" s="9">
        <v>65280</v>
      </c>
      <c r="AC187" s="9">
        <v>0</v>
      </c>
      <c r="AD187" s="9">
        <v>0</v>
      </c>
      <c r="AE187" s="9">
        <v>0.13700000000000001</v>
      </c>
      <c r="AF187" s="9">
        <v>3.19</v>
      </c>
      <c r="AG187" s="9">
        <v>4.0000000000000001E-3</v>
      </c>
      <c r="AH187" s="9">
        <v>0.245</v>
      </c>
      <c r="AI187" s="9">
        <v>7.0000000000000007E-2</v>
      </c>
      <c r="AJ187" s="9">
        <v>0</v>
      </c>
      <c r="AK187" s="9">
        <v>0.27300000000000002</v>
      </c>
      <c r="AL187" s="9">
        <v>8.9999999999999993E-3</v>
      </c>
      <c r="AM187" s="9">
        <v>1E-3</v>
      </c>
      <c r="AN187" s="9">
        <v>2.6560000000000001</v>
      </c>
      <c r="AO187" s="9">
        <v>7.3999999999999996E-2</v>
      </c>
      <c r="AP187" s="9">
        <v>9.7000000000000003E-2</v>
      </c>
      <c r="AQ187" s="9">
        <v>7.1999999999999995E-2</v>
      </c>
      <c r="AR187" s="9">
        <v>2.8000000000000001E-2</v>
      </c>
      <c r="AS187" s="9">
        <v>4.8000000000000001E-2</v>
      </c>
      <c r="AT187" s="9">
        <v>7</v>
      </c>
      <c r="AU187" s="9">
        <v>13</v>
      </c>
      <c r="AV187" s="9" t="b">
        <v>0</v>
      </c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</row>
    <row r="188" spans="1:102" ht="16" customHeight="1" x14ac:dyDescent="0.2">
      <c r="A188" s="8" t="s">
        <v>44</v>
      </c>
      <c r="B188" s="9" t="s">
        <v>380</v>
      </c>
      <c r="C188" s="9" t="s">
        <v>254</v>
      </c>
      <c r="D188" s="9" t="s">
        <v>174</v>
      </c>
      <c r="E188" s="9" t="s">
        <v>187</v>
      </c>
      <c r="F188" s="9" t="s">
        <v>176</v>
      </c>
      <c r="G188" s="9">
        <v>0.5</v>
      </c>
      <c r="H188" s="9">
        <v>2</v>
      </c>
      <c r="I188" s="9" t="s">
        <v>177</v>
      </c>
      <c r="J188" s="9" t="s">
        <v>178</v>
      </c>
      <c r="K188" s="9" t="s">
        <v>179</v>
      </c>
      <c r="L188" s="9" t="s">
        <v>180</v>
      </c>
      <c r="M188" s="9">
        <v>16874</v>
      </c>
      <c r="N188" s="9">
        <v>0.56602031394275198</v>
      </c>
      <c r="O188" s="9">
        <v>0.30376610505450902</v>
      </c>
      <c r="P188" s="9">
        <v>0.395356336665592</v>
      </c>
      <c r="Q188" s="9">
        <v>5.99</v>
      </c>
      <c r="R188" s="9">
        <v>1310</v>
      </c>
      <c r="S188" s="9">
        <v>1310</v>
      </c>
      <c r="T188" s="9">
        <v>220890</v>
      </c>
      <c r="U188" s="9">
        <v>16662</v>
      </c>
      <c r="V188" s="9">
        <v>237552</v>
      </c>
      <c r="W188" s="9">
        <v>41</v>
      </c>
      <c r="X188" s="9">
        <v>220890</v>
      </c>
      <c r="Y188" s="9">
        <v>16662</v>
      </c>
      <c r="Z188" s="9">
        <v>237552</v>
      </c>
      <c r="AA188" s="9">
        <v>65280</v>
      </c>
      <c r="AB188" s="9">
        <v>65280</v>
      </c>
      <c r="AC188" s="9">
        <v>0</v>
      </c>
      <c r="AD188" s="9">
        <v>0</v>
      </c>
      <c r="AE188" s="9">
        <v>0.13700000000000001</v>
      </c>
      <c r="AF188" s="9">
        <v>5.5650000000000004</v>
      </c>
      <c r="AG188" s="9">
        <v>6.0000000000000001E-3</v>
      </c>
      <c r="AH188" s="9">
        <v>0.28299999999999997</v>
      </c>
      <c r="AI188" s="9">
        <v>7.1999999999999995E-2</v>
      </c>
      <c r="AJ188" s="9">
        <v>0</v>
      </c>
      <c r="AK188" s="9">
        <v>0.25700000000000001</v>
      </c>
      <c r="AL188" s="9">
        <v>8.9999999999999993E-3</v>
      </c>
      <c r="AM188" s="9">
        <v>1E-3</v>
      </c>
      <c r="AN188" s="9">
        <v>5.0469999999999997</v>
      </c>
      <c r="AO188" s="9">
        <v>7.5999999999999998E-2</v>
      </c>
      <c r="AP188" s="9">
        <v>0.104</v>
      </c>
      <c r="AQ188" s="9">
        <v>8.7999999999999995E-2</v>
      </c>
      <c r="AR188" s="9">
        <v>3.3000000000000002E-2</v>
      </c>
      <c r="AS188" s="9">
        <v>5.8000000000000003E-2</v>
      </c>
      <c r="AT188" s="9">
        <v>7</v>
      </c>
      <c r="AU188" s="9">
        <v>13</v>
      </c>
      <c r="AV188" s="9" t="b">
        <v>0</v>
      </c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</row>
    <row r="189" spans="1:102" ht="16" customHeight="1" x14ac:dyDescent="0.2">
      <c r="A189" s="8" t="s">
        <v>44</v>
      </c>
      <c r="B189" s="9" t="s">
        <v>381</v>
      </c>
      <c r="C189" s="9" t="s">
        <v>254</v>
      </c>
      <c r="D189" s="9" t="s">
        <v>174</v>
      </c>
      <c r="E189" s="9" t="s">
        <v>187</v>
      </c>
      <c r="F189" s="9" t="s">
        <v>176</v>
      </c>
      <c r="G189" s="9">
        <v>0.5</v>
      </c>
      <c r="H189" s="9">
        <v>3</v>
      </c>
      <c r="I189" s="9" t="s">
        <v>177</v>
      </c>
      <c r="J189" s="9" t="s">
        <v>178</v>
      </c>
      <c r="K189" s="9" t="s">
        <v>179</v>
      </c>
      <c r="L189" s="9" t="s">
        <v>180</v>
      </c>
      <c r="M189" s="9">
        <v>16608</v>
      </c>
      <c r="N189" s="9">
        <v>0.57116279069767395</v>
      </c>
      <c r="O189" s="9">
        <v>0.30426164519326099</v>
      </c>
      <c r="P189" s="9">
        <v>0.39702554154542502</v>
      </c>
      <c r="Q189" s="9">
        <v>5.88</v>
      </c>
      <c r="R189" s="9">
        <v>1966</v>
      </c>
      <c r="S189" s="9">
        <v>1966</v>
      </c>
      <c r="T189" s="9">
        <v>330272</v>
      </c>
      <c r="U189" s="9">
        <v>25310</v>
      </c>
      <c r="V189" s="9">
        <v>355582</v>
      </c>
      <c r="W189" s="9">
        <v>62</v>
      </c>
      <c r="X189" s="9">
        <v>330272</v>
      </c>
      <c r="Y189" s="9">
        <v>25310</v>
      </c>
      <c r="Z189" s="9">
        <v>355582</v>
      </c>
      <c r="AA189" s="9">
        <v>65280</v>
      </c>
      <c r="AB189" s="9">
        <v>65280</v>
      </c>
      <c r="AC189" s="9">
        <v>0</v>
      </c>
      <c r="AD189" s="9">
        <v>0</v>
      </c>
      <c r="AE189" s="9">
        <v>0.13500000000000001</v>
      </c>
      <c r="AF189" s="9">
        <v>5.49</v>
      </c>
      <c r="AG189" s="9">
        <v>8.0000000000000002E-3</v>
      </c>
      <c r="AH189" s="9">
        <v>0.249</v>
      </c>
      <c r="AI189" s="9">
        <v>7.0000000000000007E-2</v>
      </c>
      <c r="AJ189" s="9">
        <v>0</v>
      </c>
      <c r="AK189" s="9">
        <v>0.252</v>
      </c>
      <c r="AL189" s="9">
        <v>8.9999999999999993E-3</v>
      </c>
      <c r="AM189" s="9">
        <v>1E-3</v>
      </c>
      <c r="AN189" s="9">
        <v>4.9779999999999998</v>
      </c>
      <c r="AO189" s="9">
        <v>7.1999999999999995E-2</v>
      </c>
      <c r="AP189" s="9">
        <v>9.9000000000000005E-2</v>
      </c>
      <c r="AQ189" s="9">
        <v>7.1999999999999995E-2</v>
      </c>
      <c r="AR189" s="9">
        <v>2.9000000000000001E-2</v>
      </c>
      <c r="AS189" s="9">
        <v>4.9000000000000002E-2</v>
      </c>
      <c r="AT189" s="9">
        <v>7</v>
      </c>
      <c r="AU189" s="9">
        <v>13</v>
      </c>
      <c r="AV189" s="9" t="b">
        <v>0</v>
      </c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</row>
    <row r="190" spans="1:102" ht="16" customHeight="1" x14ac:dyDescent="0.2">
      <c r="A190" s="8" t="s">
        <v>44</v>
      </c>
      <c r="B190" s="9" t="s">
        <v>382</v>
      </c>
      <c r="C190" s="9" t="s">
        <v>254</v>
      </c>
      <c r="D190" s="9" t="s">
        <v>174</v>
      </c>
      <c r="E190" s="9" t="s">
        <v>187</v>
      </c>
      <c r="F190" s="9" t="s">
        <v>176</v>
      </c>
      <c r="G190" s="9">
        <v>0.5</v>
      </c>
      <c r="H190" s="9">
        <v>4</v>
      </c>
      <c r="I190" s="9" t="s">
        <v>177</v>
      </c>
      <c r="J190" s="9" t="s">
        <v>178</v>
      </c>
      <c r="K190" s="9" t="s">
        <v>179</v>
      </c>
      <c r="L190" s="9" t="s">
        <v>180</v>
      </c>
      <c r="M190" s="9">
        <v>16252</v>
      </c>
      <c r="N190" s="9">
        <v>0.57837582625118</v>
      </c>
      <c r="O190" s="9">
        <v>0.30351833498513398</v>
      </c>
      <c r="P190" s="9">
        <v>0.39811504712382201</v>
      </c>
      <c r="Q190" s="9">
        <v>7.37</v>
      </c>
      <c r="R190" s="9">
        <v>2621</v>
      </c>
      <c r="S190" s="9">
        <v>2621</v>
      </c>
      <c r="T190" s="9">
        <v>439400</v>
      </c>
      <c r="U190" s="9">
        <v>33774</v>
      </c>
      <c r="V190" s="9">
        <v>473174</v>
      </c>
      <c r="W190" s="9">
        <v>82</v>
      </c>
      <c r="X190" s="9">
        <v>439400</v>
      </c>
      <c r="Y190" s="9">
        <v>33774</v>
      </c>
      <c r="Z190" s="9">
        <v>473174</v>
      </c>
      <c r="AA190" s="9">
        <v>65280</v>
      </c>
      <c r="AB190" s="9">
        <v>65280</v>
      </c>
      <c r="AC190" s="9">
        <v>0</v>
      </c>
      <c r="AD190" s="9">
        <v>0</v>
      </c>
      <c r="AE190" s="9">
        <v>0.13600000000000001</v>
      </c>
      <c r="AF190" s="9">
        <v>6.9610000000000003</v>
      </c>
      <c r="AG190" s="9">
        <v>8.9999999999999993E-3</v>
      </c>
      <c r="AH190" s="9">
        <v>0.26200000000000001</v>
      </c>
      <c r="AI190" s="9">
        <v>7.1999999999999995E-2</v>
      </c>
      <c r="AJ190" s="9">
        <v>0</v>
      </c>
      <c r="AK190" s="9">
        <v>0.26500000000000001</v>
      </c>
      <c r="AL190" s="9">
        <v>8.9999999999999993E-3</v>
      </c>
      <c r="AM190" s="9">
        <v>1E-3</v>
      </c>
      <c r="AN190" s="9">
        <v>6.4450000000000003</v>
      </c>
      <c r="AO190" s="9">
        <v>6.8000000000000005E-2</v>
      </c>
      <c r="AP190" s="9">
        <v>0.10100000000000001</v>
      </c>
      <c r="AQ190" s="9">
        <v>8.3000000000000004E-2</v>
      </c>
      <c r="AR190" s="9">
        <v>2.9000000000000001E-2</v>
      </c>
      <c r="AS190" s="9">
        <v>4.9000000000000002E-2</v>
      </c>
      <c r="AT190" s="9">
        <v>7</v>
      </c>
      <c r="AU190" s="9">
        <v>13</v>
      </c>
      <c r="AV190" s="9" t="b">
        <v>0</v>
      </c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</row>
    <row r="191" spans="1:102" ht="16" customHeight="1" x14ac:dyDescent="0.2">
      <c r="A191" s="8" t="s">
        <v>44</v>
      </c>
      <c r="B191" s="9" t="s">
        <v>383</v>
      </c>
      <c r="C191" s="9" t="s">
        <v>254</v>
      </c>
      <c r="D191" s="9" t="s">
        <v>174</v>
      </c>
      <c r="E191" s="9" t="s">
        <v>187</v>
      </c>
      <c r="F191" s="9" t="s">
        <v>176</v>
      </c>
      <c r="G191" s="9">
        <v>0.5</v>
      </c>
      <c r="H191" s="9">
        <v>5</v>
      </c>
      <c r="I191" s="9" t="s">
        <v>177</v>
      </c>
      <c r="J191" s="9" t="s">
        <v>178</v>
      </c>
      <c r="K191" s="9" t="s">
        <v>179</v>
      </c>
      <c r="L191" s="9" t="s">
        <v>180</v>
      </c>
      <c r="M191" s="9">
        <v>15357</v>
      </c>
      <c r="N191" s="9">
        <v>0.60435212660731996</v>
      </c>
      <c r="O191" s="9">
        <v>0.30277502477700702</v>
      </c>
      <c r="P191" s="9">
        <v>0.40343347639485</v>
      </c>
      <c r="Q191" s="9">
        <v>8.43</v>
      </c>
      <c r="R191" s="9">
        <v>3276</v>
      </c>
      <c r="S191" s="9">
        <v>3276</v>
      </c>
      <c r="T191" s="9">
        <v>549719</v>
      </c>
      <c r="U191" s="9">
        <v>42056</v>
      </c>
      <c r="V191" s="9">
        <v>591775</v>
      </c>
      <c r="W191" s="9">
        <v>103</v>
      </c>
      <c r="X191" s="9">
        <v>549719</v>
      </c>
      <c r="Y191" s="9">
        <v>42056</v>
      </c>
      <c r="Z191" s="9">
        <v>591775</v>
      </c>
      <c r="AA191" s="9">
        <v>65280</v>
      </c>
      <c r="AB191" s="9">
        <v>65280</v>
      </c>
      <c r="AC191" s="9">
        <v>0</v>
      </c>
      <c r="AD191" s="9">
        <v>0</v>
      </c>
      <c r="AE191" s="9">
        <v>0.13400000000000001</v>
      </c>
      <c r="AF191" s="9">
        <v>8.0299999999999994</v>
      </c>
      <c r="AG191" s="9">
        <v>1.2E-2</v>
      </c>
      <c r="AH191" s="9">
        <v>0.25</v>
      </c>
      <c r="AI191" s="9">
        <v>7.3999999999999996E-2</v>
      </c>
      <c r="AJ191" s="9">
        <v>0</v>
      </c>
      <c r="AK191" s="9">
        <v>0.252</v>
      </c>
      <c r="AL191" s="9">
        <v>8.9999999999999993E-3</v>
      </c>
      <c r="AM191" s="9">
        <v>1E-3</v>
      </c>
      <c r="AN191" s="9">
        <v>7.5289999999999999</v>
      </c>
      <c r="AO191" s="9">
        <v>6.7000000000000004E-2</v>
      </c>
      <c r="AP191" s="9">
        <v>9.8000000000000004E-2</v>
      </c>
      <c r="AQ191" s="9">
        <v>7.2999999999999995E-2</v>
      </c>
      <c r="AR191" s="9">
        <v>2.9000000000000001E-2</v>
      </c>
      <c r="AS191" s="9">
        <v>5.0999999999999997E-2</v>
      </c>
      <c r="AT191" s="9">
        <v>7</v>
      </c>
      <c r="AU191" s="9">
        <v>13</v>
      </c>
      <c r="AV191" s="9" t="b">
        <v>0</v>
      </c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</row>
    <row r="192" spans="1:102" s="32" customFormat="1" ht="16" customHeight="1" x14ac:dyDescent="0.2">
      <c r="A192" s="30" t="s">
        <v>44</v>
      </c>
      <c r="B192" s="29" t="s">
        <v>384</v>
      </c>
      <c r="C192" s="29" t="s">
        <v>254</v>
      </c>
      <c r="D192" s="29" t="s">
        <v>174</v>
      </c>
      <c r="E192" s="29" t="s">
        <v>187</v>
      </c>
      <c r="F192" s="29" t="s">
        <v>176</v>
      </c>
      <c r="G192" s="29">
        <v>0.5</v>
      </c>
      <c r="H192" s="29">
        <v>6</v>
      </c>
      <c r="I192" s="29" t="s">
        <v>177</v>
      </c>
      <c r="J192" s="29" t="s">
        <v>178</v>
      </c>
      <c r="K192" s="29" t="s">
        <v>179</v>
      </c>
      <c r="L192" s="29" t="s">
        <v>180</v>
      </c>
      <c r="M192" s="29">
        <v>14683</v>
      </c>
      <c r="N192" s="29">
        <v>0.617556468172485</v>
      </c>
      <c r="O192" s="29">
        <v>0.29806739345887001</v>
      </c>
      <c r="P192" s="29">
        <v>0.40207219251336901</v>
      </c>
      <c r="Q192" s="29">
        <v>9.6999999999999993</v>
      </c>
      <c r="R192" s="29">
        <v>3932</v>
      </c>
      <c r="S192" s="29">
        <v>3932</v>
      </c>
      <c r="T192" s="29">
        <v>659554</v>
      </c>
      <c r="U192" s="29">
        <v>50494</v>
      </c>
      <c r="V192" s="29">
        <v>710048</v>
      </c>
      <c r="W192" s="29">
        <v>123</v>
      </c>
      <c r="X192" s="29">
        <v>659554</v>
      </c>
      <c r="Y192" s="29">
        <v>50494</v>
      </c>
      <c r="Z192" s="29">
        <v>710048</v>
      </c>
      <c r="AA192" s="29">
        <v>65280</v>
      </c>
      <c r="AB192" s="29">
        <v>65280</v>
      </c>
      <c r="AC192" s="29">
        <v>0</v>
      </c>
      <c r="AD192" s="29">
        <v>0</v>
      </c>
      <c r="AE192" s="29">
        <v>0.13600000000000001</v>
      </c>
      <c r="AF192" s="29">
        <v>9.282</v>
      </c>
      <c r="AG192" s="29">
        <v>1.4E-2</v>
      </c>
      <c r="AH192" s="29">
        <v>0.26500000000000001</v>
      </c>
      <c r="AI192" s="29">
        <v>6.9000000000000006E-2</v>
      </c>
      <c r="AJ192" s="29">
        <v>0</v>
      </c>
      <c r="AK192" s="29">
        <v>0.26200000000000001</v>
      </c>
      <c r="AL192" s="29">
        <v>8.9999999999999993E-3</v>
      </c>
      <c r="AM192" s="29">
        <v>1E-3</v>
      </c>
      <c r="AN192" s="29">
        <v>8.7870000000000008</v>
      </c>
      <c r="AO192" s="29">
        <v>6.0999999999999999E-2</v>
      </c>
      <c r="AP192" s="29">
        <v>0.109</v>
      </c>
      <c r="AQ192" s="29">
        <v>7.5999999999999998E-2</v>
      </c>
      <c r="AR192" s="29">
        <v>2.8000000000000001E-2</v>
      </c>
      <c r="AS192" s="29">
        <v>5.0999999999999997E-2</v>
      </c>
      <c r="AT192" s="29">
        <v>7</v>
      </c>
      <c r="AU192" s="29">
        <v>14</v>
      </c>
      <c r="AV192" s="29" t="b">
        <v>0</v>
      </c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</row>
    <row r="193" spans="1:102" ht="16" customHeight="1" x14ac:dyDescent="0.2">
      <c r="A193" s="8" t="s">
        <v>44</v>
      </c>
      <c r="B193" s="9" t="s">
        <v>385</v>
      </c>
      <c r="C193" s="9" t="s">
        <v>254</v>
      </c>
      <c r="D193" s="9" t="s">
        <v>174</v>
      </c>
      <c r="E193" s="9" t="s">
        <v>187</v>
      </c>
      <c r="F193" s="9" t="s">
        <v>176</v>
      </c>
      <c r="G193" s="9">
        <v>0.5</v>
      </c>
      <c r="H193" s="9">
        <v>7</v>
      </c>
      <c r="I193" s="9" t="s">
        <v>177</v>
      </c>
      <c r="J193" s="9" t="s">
        <v>178</v>
      </c>
      <c r="K193" s="9" t="s">
        <v>179</v>
      </c>
      <c r="L193" s="9" t="s">
        <v>180</v>
      </c>
      <c r="M193" s="9">
        <v>14627</v>
      </c>
      <c r="N193" s="9">
        <v>0.62148337595907899</v>
      </c>
      <c r="O193" s="9">
        <v>0.30104063429137801</v>
      </c>
      <c r="P193" s="9">
        <v>0.40560841261892799</v>
      </c>
      <c r="Q193" s="9">
        <v>11.17</v>
      </c>
      <c r="R193" s="9">
        <v>4587</v>
      </c>
      <c r="S193" s="9">
        <v>4587</v>
      </c>
      <c r="T193" s="9">
        <v>768434</v>
      </c>
      <c r="U193" s="9">
        <v>58930</v>
      </c>
      <c r="V193" s="9">
        <v>827364</v>
      </c>
      <c r="W193" s="9">
        <v>144</v>
      </c>
      <c r="X193" s="9">
        <v>768434</v>
      </c>
      <c r="Y193" s="9">
        <v>58930</v>
      </c>
      <c r="Z193" s="9">
        <v>827364</v>
      </c>
      <c r="AA193" s="9">
        <v>65280</v>
      </c>
      <c r="AB193" s="9">
        <v>65280</v>
      </c>
      <c r="AC193" s="9">
        <v>0</v>
      </c>
      <c r="AD193" s="9">
        <v>0</v>
      </c>
      <c r="AE193" s="9">
        <v>0.13500000000000001</v>
      </c>
      <c r="AF193" s="9">
        <v>10.760999999999999</v>
      </c>
      <c r="AG193" s="9">
        <v>1.9E-2</v>
      </c>
      <c r="AH193" s="9">
        <v>0.25600000000000001</v>
      </c>
      <c r="AI193" s="9">
        <v>7.0000000000000007E-2</v>
      </c>
      <c r="AJ193" s="9">
        <v>0</v>
      </c>
      <c r="AK193" s="9">
        <v>0.251</v>
      </c>
      <c r="AL193" s="9">
        <v>8.9999999999999993E-3</v>
      </c>
      <c r="AM193" s="9">
        <v>1E-3</v>
      </c>
      <c r="AN193" s="9">
        <v>10.273</v>
      </c>
      <c r="AO193" s="9">
        <v>6.5000000000000002E-2</v>
      </c>
      <c r="AP193" s="9">
        <v>9.9000000000000005E-2</v>
      </c>
      <c r="AQ193" s="9">
        <v>7.3999999999999996E-2</v>
      </c>
      <c r="AR193" s="9">
        <v>2.9000000000000001E-2</v>
      </c>
      <c r="AS193" s="9">
        <v>5.3999999999999999E-2</v>
      </c>
      <c r="AT193" s="9">
        <v>7</v>
      </c>
      <c r="AU193" s="9">
        <v>14</v>
      </c>
      <c r="AV193" s="9" t="b">
        <v>0</v>
      </c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</row>
    <row r="194" spans="1:102" ht="16" customHeight="1" x14ac:dyDescent="0.2">
      <c r="A194" s="8" t="s">
        <v>44</v>
      </c>
      <c r="B194" s="9" t="s">
        <v>386</v>
      </c>
      <c r="C194" s="9" t="s">
        <v>254</v>
      </c>
      <c r="D194" s="9" t="s">
        <v>174</v>
      </c>
      <c r="E194" s="9" t="s">
        <v>187</v>
      </c>
      <c r="F194" s="9" t="s">
        <v>176</v>
      </c>
      <c r="G194" s="9">
        <v>0.5</v>
      </c>
      <c r="H194" s="9">
        <v>8</v>
      </c>
      <c r="I194" s="9" t="s">
        <v>177</v>
      </c>
      <c r="J194" s="9" t="s">
        <v>178</v>
      </c>
      <c r="K194" s="9" t="s">
        <v>179</v>
      </c>
      <c r="L194" s="9" t="s">
        <v>180</v>
      </c>
      <c r="M194" s="9">
        <v>14606</v>
      </c>
      <c r="N194" s="9">
        <v>0.61955420466058797</v>
      </c>
      <c r="O194" s="9">
        <v>0.303022794846383</v>
      </c>
      <c r="P194" s="9">
        <v>0.406988352745424</v>
      </c>
      <c r="Q194" s="9">
        <v>12.47</v>
      </c>
      <c r="R194" s="9">
        <v>5242</v>
      </c>
      <c r="S194" s="9">
        <v>5242</v>
      </c>
      <c r="T194" s="9">
        <v>876626</v>
      </c>
      <c r="U194" s="9">
        <v>67492</v>
      </c>
      <c r="V194" s="9">
        <v>944118</v>
      </c>
      <c r="W194" s="9">
        <v>164</v>
      </c>
      <c r="X194" s="9">
        <v>876626</v>
      </c>
      <c r="Y194" s="9">
        <v>67492</v>
      </c>
      <c r="Z194" s="9">
        <v>944118</v>
      </c>
      <c r="AA194" s="9">
        <v>65280</v>
      </c>
      <c r="AB194" s="9">
        <v>65280</v>
      </c>
      <c r="AC194" s="9">
        <v>0</v>
      </c>
      <c r="AD194" s="9">
        <v>0</v>
      </c>
      <c r="AE194" s="9">
        <v>0.13800000000000001</v>
      </c>
      <c r="AF194" s="9">
        <v>12.06</v>
      </c>
      <c r="AG194" s="9">
        <v>1.7999999999999999E-2</v>
      </c>
      <c r="AH194" s="9">
        <v>0.255</v>
      </c>
      <c r="AI194" s="9">
        <v>7.0000000000000007E-2</v>
      </c>
      <c r="AJ194" s="9">
        <v>0</v>
      </c>
      <c r="AK194" s="9">
        <v>0.27200000000000002</v>
      </c>
      <c r="AL194" s="9">
        <v>8.9999999999999993E-3</v>
      </c>
      <c r="AM194" s="9">
        <v>2E-3</v>
      </c>
      <c r="AN194" s="9">
        <v>11.555999999999999</v>
      </c>
      <c r="AO194" s="9">
        <v>6.0999999999999999E-2</v>
      </c>
      <c r="AP194" s="9">
        <v>9.8000000000000004E-2</v>
      </c>
      <c r="AQ194" s="9">
        <v>7.2999999999999995E-2</v>
      </c>
      <c r="AR194" s="9">
        <v>3.2000000000000001E-2</v>
      </c>
      <c r="AS194" s="9">
        <v>5.1999999999999998E-2</v>
      </c>
      <c r="AT194" s="9">
        <v>8</v>
      </c>
      <c r="AU194" s="9">
        <v>14</v>
      </c>
      <c r="AV194" s="9" t="b">
        <v>0</v>
      </c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</row>
    <row r="195" spans="1:102" ht="16" customHeight="1" x14ac:dyDescent="0.2">
      <c r="A195" s="8" t="s">
        <v>44</v>
      </c>
      <c r="B195" s="9" t="s">
        <v>387</v>
      </c>
      <c r="C195" s="9" t="s">
        <v>254</v>
      </c>
      <c r="D195" s="9" t="s">
        <v>174</v>
      </c>
      <c r="E195" s="9" t="s">
        <v>187</v>
      </c>
      <c r="F195" s="9" t="s">
        <v>176</v>
      </c>
      <c r="G195" s="9">
        <v>0.5</v>
      </c>
      <c r="H195" s="9">
        <v>9</v>
      </c>
      <c r="I195" s="9" t="s">
        <v>177</v>
      </c>
      <c r="J195" s="9" t="s">
        <v>178</v>
      </c>
      <c r="K195" s="9" t="s">
        <v>179</v>
      </c>
      <c r="L195" s="9" t="s">
        <v>180</v>
      </c>
      <c r="M195" s="9">
        <v>14164</v>
      </c>
      <c r="N195" s="9">
        <v>0.62939958592132506</v>
      </c>
      <c r="O195" s="9">
        <v>0.30128840436075299</v>
      </c>
      <c r="P195" s="9">
        <v>0.40750670241286902</v>
      </c>
      <c r="Q195" s="9">
        <v>13.82</v>
      </c>
      <c r="R195" s="9">
        <v>5898</v>
      </c>
      <c r="S195" s="9">
        <v>5898</v>
      </c>
      <c r="T195" s="9">
        <v>985846</v>
      </c>
      <c r="U195" s="9">
        <v>76084</v>
      </c>
      <c r="V195" s="9">
        <v>1061930</v>
      </c>
      <c r="W195" s="9">
        <v>185</v>
      </c>
      <c r="X195" s="9">
        <v>985846</v>
      </c>
      <c r="Y195" s="9">
        <v>76084</v>
      </c>
      <c r="Z195" s="9">
        <v>1061930</v>
      </c>
      <c r="AA195" s="9">
        <v>65280</v>
      </c>
      <c r="AB195" s="9">
        <v>65280</v>
      </c>
      <c r="AC195" s="9">
        <v>0</v>
      </c>
      <c r="AD195" s="9">
        <v>0</v>
      </c>
      <c r="AE195" s="9">
        <v>0.13800000000000001</v>
      </c>
      <c r="AF195" s="9">
        <v>13.366</v>
      </c>
      <c r="AG195" s="9">
        <v>2.3E-2</v>
      </c>
      <c r="AH195" s="9">
        <v>0.28999999999999998</v>
      </c>
      <c r="AI195" s="9">
        <v>7.5999999999999998E-2</v>
      </c>
      <c r="AJ195" s="9">
        <v>0</v>
      </c>
      <c r="AK195" s="9">
        <v>0.25800000000000001</v>
      </c>
      <c r="AL195" s="9">
        <v>8.9999999999999993E-3</v>
      </c>
      <c r="AM195" s="9">
        <v>2E-3</v>
      </c>
      <c r="AN195" s="9">
        <v>12.869</v>
      </c>
      <c r="AO195" s="9">
        <v>6.5000000000000002E-2</v>
      </c>
      <c r="AP195" s="9">
        <v>0.106</v>
      </c>
      <c r="AQ195" s="9">
        <v>8.7999999999999995E-2</v>
      </c>
      <c r="AR195" s="9">
        <v>3.4000000000000002E-2</v>
      </c>
      <c r="AS195" s="9">
        <v>6.2E-2</v>
      </c>
      <c r="AT195" s="9">
        <v>7</v>
      </c>
      <c r="AU195" s="9">
        <v>14</v>
      </c>
      <c r="AV195" s="9" t="b">
        <v>0</v>
      </c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</row>
    <row r="196" spans="1:102" ht="16" customHeight="1" x14ac:dyDescent="0.2">
      <c r="A196" s="8" t="s">
        <v>44</v>
      </c>
      <c r="B196" s="9" t="s">
        <v>388</v>
      </c>
      <c r="C196" s="9" t="s">
        <v>254</v>
      </c>
      <c r="D196" s="9" t="s">
        <v>174</v>
      </c>
      <c r="E196" s="9" t="s">
        <v>187</v>
      </c>
      <c r="F196" s="9" t="s">
        <v>176</v>
      </c>
      <c r="G196" s="9">
        <v>0.5</v>
      </c>
      <c r="H196" s="9">
        <v>10</v>
      </c>
      <c r="I196" s="9" t="s">
        <v>177</v>
      </c>
      <c r="J196" s="9" t="s">
        <v>178</v>
      </c>
      <c r="K196" s="9" t="s">
        <v>179</v>
      </c>
      <c r="L196" s="9" t="s">
        <v>180</v>
      </c>
      <c r="M196" s="9">
        <v>14037</v>
      </c>
      <c r="N196" s="9">
        <v>0.63579604578563997</v>
      </c>
      <c r="O196" s="9">
        <v>0.30277502477700702</v>
      </c>
      <c r="P196" s="9">
        <v>0.41020476670023498</v>
      </c>
      <c r="Q196" s="9">
        <v>14.69</v>
      </c>
      <c r="R196" s="9">
        <v>6553</v>
      </c>
      <c r="S196" s="9">
        <v>6553</v>
      </c>
      <c r="T196" s="9">
        <v>1095888</v>
      </c>
      <c r="U196" s="9">
        <v>84548</v>
      </c>
      <c r="V196" s="9">
        <v>1180436</v>
      </c>
      <c r="W196" s="9">
        <v>205</v>
      </c>
      <c r="X196" s="9">
        <v>1095888</v>
      </c>
      <c r="Y196" s="9">
        <v>84548</v>
      </c>
      <c r="Z196" s="9">
        <v>1180436</v>
      </c>
      <c r="AA196" s="9">
        <v>65280</v>
      </c>
      <c r="AB196" s="9">
        <v>65280</v>
      </c>
      <c r="AC196" s="9">
        <v>0</v>
      </c>
      <c r="AD196" s="9">
        <v>0</v>
      </c>
      <c r="AE196" s="9">
        <v>0.13800000000000001</v>
      </c>
      <c r="AF196" s="9">
        <v>14.281000000000001</v>
      </c>
      <c r="AG196" s="9">
        <v>2.5999999999999999E-2</v>
      </c>
      <c r="AH196" s="9">
        <v>0.25</v>
      </c>
      <c r="AI196" s="9">
        <v>6.4000000000000001E-2</v>
      </c>
      <c r="AJ196" s="9">
        <v>0</v>
      </c>
      <c r="AK196" s="9">
        <v>0.26700000000000002</v>
      </c>
      <c r="AL196" s="9">
        <v>8.9999999999999993E-3</v>
      </c>
      <c r="AM196" s="9">
        <v>2E-3</v>
      </c>
      <c r="AN196" s="9">
        <v>13.785</v>
      </c>
      <c r="AO196" s="9">
        <v>6.2E-2</v>
      </c>
      <c r="AP196" s="9">
        <v>9.8000000000000004E-2</v>
      </c>
      <c r="AQ196" s="9">
        <v>7.0999999999999994E-2</v>
      </c>
      <c r="AR196" s="9">
        <v>2.9000000000000001E-2</v>
      </c>
      <c r="AS196" s="9">
        <v>5.1999999999999998E-2</v>
      </c>
      <c r="AT196" s="9">
        <v>7</v>
      </c>
      <c r="AU196" s="9">
        <v>14</v>
      </c>
      <c r="AV196" s="9" t="b">
        <v>0</v>
      </c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</row>
    <row r="197" spans="1:102" ht="16" customHeight="1" x14ac:dyDescent="0.2">
      <c r="A197" s="8" t="s">
        <v>44</v>
      </c>
      <c r="B197" s="9" t="s">
        <v>389</v>
      </c>
      <c r="C197" s="9" t="s">
        <v>265</v>
      </c>
      <c r="D197" s="9" t="s">
        <v>174</v>
      </c>
      <c r="E197" s="9" t="s">
        <v>175</v>
      </c>
      <c r="F197" s="9" t="s">
        <v>176</v>
      </c>
      <c r="G197" s="9">
        <v>0.5</v>
      </c>
      <c r="H197" s="9">
        <v>1</v>
      </c>
      <c r="I197" s="9" t="s">
        <v>177</v>
      </c>
      <c r="J197" s="9" t="s">
        <v>178</v>
      </c>
      <c r="K197" s="9" t="s">
        <v>179</v>
      </c>
      <c r="L197" s="9" t="s">
        <v>180</v>
      </c>
      <c r="M197" s="9">
        <v>13088</v>
      </c>
      <c r="N197" s="9">
        <v>0.52811735941320304</v>
      </c>
      <c r="O197" s="9">
        <v>0.21407333994053501</v>
      </c>
      <c r="P197" s="9">
        <v>0.30465444287729199</v>
      </c>
      <c r="Q197" s="9">
        <v>4.7300000000000004</v>
      </c>
      <c r="R197" s="9">
        <v>655</v>
      </c>
      <c r="S197" s="9">
        <v>655</v>
      </c>
      <c r="T197" s="9">
        <v>114622</v>
      </c>
      <c r="U197" s="9">
        <v>7288</v>
      </c>
      <c r="V197" s="9">
        <v>121910</v>
      </c>
      <c r="W197" s="9">
        <v>30</v>
      </c>
      <c r="X197" s="9">
        <v>114622</v>
      </c>
      <c r="Y197" s="9">
        <v>7288</v>
      </c>
      <c r="Z197" s="9">
        <v>121910</v>
      </c>
      <c r="AA197" s="9">
        <v>65280</v>
      </c>
      <c r="AB197" s="9">
        <v>65280</v>
      </c>
      <c r="AC197" s="9">
        <v>0</v>
      </c>
      <c r="AD197" s="9">
        <v>0</v>
      </c>
      <c r="AE197" s="9">
        <v>0.13400000000000001</v>
      </c>
      <c r="AF197" s="9">
        <v>4.492</v>
      </c>
      <c r="AG197" s="9">
        <v>4.0000000000000001E-3</v>
      </c>
      <c r="AH197" s="9">
        <v>9.7000000000000003E-2</v>
      </c>
      <c r="AI197" s="9">
        <v>6.5000000000000002E-2</v>
      </c>
      <c r="AJ197" s="9">
        <v>1.2E-2</v>
      </c>
      <c r="AK197" s="9">
        <v>0.25</v>
      </c>
      <c r="AL197" s="9">
        <v>0</v>
      </c>
      <c r="AM197" s="9">
        <v>0.45700000000000002</v>
      </c>
      <c r="AN197" s="9">
        <v>3.5470000000000002</v>
      </c>
      <c r="AO197" s="9">
        <v>6.2E-2</v>
      </c>
      <c r="AP197" s="9">
        <v>9.7000000000000003E-2</v>
      </c>
      <c r="AQ197" s="9">
        <v>0</v>
      </c>
      <c r="AR197" s="9">
        <v>0</v>
      </c>
      <c r="AS197" s="9">
        <v>0</v>
      </c>
      <c r="AT197" s="9" t="s">
        <v>243</v>
      </c>
      <c r="AU197" s="9" t="s">
        <v>243</v>
      </c>
      <c r="AV197" s="9" t="b">
        <v>0</v>
      </c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</row>
    <row r="198" spans="1:102" ht="16" customHeight="1" x14ac:dyDescent="0.2">
      <c r="A198" s="8" t="s">
        <v>44</v>
      </c>
      <c r="B198" s="9" t="s">
        <v>390</v>
      </c>
      <c r="C198" s="9" t="s">
        <v>265</v>
      </c>
      <c r="D198" s="9" t="s">
        <v>174</v>
      </c>
      <c r="E198" s="9" t="s">
        <v>175</v>
      </c>
      <c r="F198" s="9" t="s">
        <v>176</v>
      </c>
      <c r="G198" s="9">
        <v>0.5</v>
      </c>
      <c r="H198" s="9">
        <v>2</v>
      </c>
      <c r="I198" s="9" t="s">
        <v>177</v>
      </c>
      <c r="J198" s="9" t="s">
        <v>178</v>
      </c>
      <c r="K198" s="9" t="s">
        <v>179</v>
      </c>
      <c r="L198" s="9" t="s">
        <v>180</v>
      </c>
      <c r="M198" s="9">
        <v>15624</v>
      </c>
      <c r="N198" s="9">
        <v>0.55401945724526402</v>
      </c>
      <c r="O198" s="9">
        <v>0.26808721506442001</v>
      </c>
      <c r="P198" s="9">
        <v>0.36132910335615298</v>
      </c>
      <c r="Q198" s="9">
        <v>6.32</v>
      </c>
      <c r="R198" s="9">
        <v>1310</v>
      </c>
      <c r="S198" s="9">
        <v>1310</v>
      </c>
      <c r="T198" s="9">
        <v>222119</v>
      </c>
      <c r="U198" s="9">
        <v>14436</v>
      </c>
      <c r="V198" s="9">
        <v>236555</v>
      </c>
      <c r="W198" s="9">
        <v>50</v>
      </c>
      <c r="X198" s="9">
        <v>222119</v>
      </c>
      <c r="Y198" s="9">
        <v>14436</v>
      </c>
      <c r="Z198" s="9">
        <v>236555</v>
      </c>
      <c r="AA198" s="9">
        <v>65280</v>
      </c>
      <c r="AB198" s="9">
        <v>65280</v>
      </c>
      <c r="AC198" s="9">
        <v>0</v>
      </c>
      <c r="AD198" s="9">
        <v>0</v>
      </c>
      <c r="AE198" s="9">
        <v>0.13600000000000001</v>
      </c>
      <c r="AF198" s="9">
        <v>6.0750000000000002</v>
      </c>
      <c r="AG198" s="9">
        <v>8.0000000000000002E-3</v>
      </c>
      <c r="AH198" s="9">
        <v>0.104</v>
      </c>
      <c r="AI198" s="9">
        <v>6.5000000000000002E-2</v>
      </c>
      <c r="AJ198" s="9">
        <v>1.0999999999999999E-2</v>
      </c>
      <c r="AK198" s="9">
        <v>0.252</v>
      </c>
      <c r="AL198" s="9">
        <v>0</v>
      </c>
      <c r="AM198" s="9">
        <v>0.46500000000000002</v>
      </c>
      <c r="AN198" s="9">
        <v>5.1100000000000003</v>
      </c>
      <c r="AO198" s="9">
        <v>6.3E-2</v>
      </c>
      <c r="AP198" s="9">
        <v>0.104</v>
      </c>
      <c r="AQ198" s="9">
        <v>0</v>
      </c>
      <c r="AR198" s="9">
        <v>0</v>
      </c>
      <c r="AS198" s="9">
        <v>0</v>
      </c>
      <c r="AT198" s="9" t="s">
        <v>243</v>
      </c>
      <c r="AU198" s="9" t="s">
        <v>243</v>
      </c>
      <c r="AV198" s="9" t="b">
        <v>0</v>
      </c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</row>
    <row r="199" spans="1:102" ht="16" customHeight="1" x14ac:dyDescent="0.2">
      <c r="A199" s="8" t="s">
        <v>44</v>
      </c>
      <c r="B199" s="9" t="s">
        <v>391</v>
      </c>
      <c r="C199" s="9" t="s">
        <v>265</v>
      </c>
      <c r="D199" s="9" t="s">
        <v>174</v>
      </c>
      <c r="E199" s="9" t="s">
        <v>175</v>
      </c>
      <c r="F199" s="9" t="s">
        <v>176</v>
      </c>
      <c r="G199" s="9">
        <v>0.5</v>
      </c>
      <c r="H199" s="9">
        <v>3</v>
      </c>
      <c r="I199" s="9" t="s">
        <v>177</v>
      </c>
      <c r="J199" s="9" t="s">
        <v>178</v>
      </c>
      <c r="K199" s="9" t="s">
        <v>179</v>
      </c>
      <c r="L199" s="9" t="s">
        <v>180</v>
      </c>
      <c r="M199" s="9">
        <v>13488</v>
      </c>
      <c r="N199" s="9">
        <v>0.588374851720047</v>
      </c>
      <c r="O199" s="9">
        <v>0.24578790882061399</v>
      </c>
      <c r="P199" s="9">
        <v>0.34673191191891001</v>
      </c>
      <c r="Q199" s="9">
        <v>7.78</v>
      </c>
      <c r="R199" s="9">
        <v>1966</v>
      </c>
      <c r="S199" s="9">
        <v>1966</v>
      </c>
      <c r="T199" s="9">
        <v>339676</v>
      </c>
      <c r="U199" s="9">
        <v>20550</v>
      </c>
      <c r="V199" s="9">
        <v>360226</v>
      </c>
      <c r="W199" s="9">
        <v>70</v>
      </c>
      <c r="X199" s="9">
        <v>339676</v>
      </c>
      <c r="Y199" s="9">
        <v>20550</v>
      </c>
      <c r="Z199" s="9">
        <v>360226</v>
      </c>
      <c r="AA199" s="9">
        <v>65280</v>
      </c>
      <c r="AB199" s="9">
        <v>65280</v>
      </c>
      <c r="AC199" s="9">
        <v>0</v>
      </c>
      <c r="AD199" s="9">
        <v>0</v>
      </c>
      <c r="AE199" s="9">
        <v>0.13900000000000001</v>
      </c>
      <c r="AF199" s="9">
        <v>7.5209999999999999</v>
      </c>
      <c r="AG199" s="9">
        <v>8.0000000000000002E-3</v>
      </c>
      <c r="AH199" s="9">
        <v>0.106</v>
      </c>
      <c r="AI199" s="9">
        <v>6.9000000000000006E-2</v>
      </c>
      <c r="AJ199" s="9">
        <v>1.2E-2</v>
      </c>
      <c r="AK199" s="9">
        <v>0.25800000000000001</v>
      </c>
      <c r="AL199" s="9">
        <v>0</v>
      </c>
      <c r="AM199" s="9">
        <v>0.46300000000000002</v>
      </c>
      <c r="AN199" s="9">
        <v>6.5380000000000003</v>
      </c>
      <c r="AO199" s="9">
        <v>8.1000000000000003E-2</v>
      </c>
      <c r="AP199" s="9">
        <v>0.106</v>
      </c>
      <c r="AQ199" s="9">
        <v>0</v>
      </c>
      <c r="AR199" s="9">
        <v>0</v>
      </c>
      <c r="AS199" s="9">
        <v>0</v>
      </c>
      <c r="AT199" s="9" t="s">
        <v>243</v>
      </c>
      <c r="AU199" s="9" t="s">
        <v>243</v>
      </c>
      <c r="AV199" s="9" t="b">
        <v>0</v>
      </c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</row>
    <row r="200" spans="1:102" ht="16" customHeight="1" x14ac:dyDescent="0.2">
      <c r="A200" s="8" t="s">
        <v>44</v>
      </c>
      <c r="B200" s="9" t="s">
        <v>392</v>
      </c>
      <c r="C200" s="9" t="s">
        <v>265</v>
      </c>
      <c r="D200" s="9" t="s">
        <v>174</v>
      </c>
      <c r="E200" s="9" t="s">
        <v>175</v>
      </c>
      <c r="F200" s="9" t="s">
        <v>176</v>
      </c>
      <c r="G200" s="9">
        <v>0.5</v>
      </c>
      <c r="H200" s="9">
        <v>4</v>
      </c>
      <c r="I200" s="9" t="s">
        <v>177</v>
      </c>
      <c r="J200" s="9" t="s">
        <v>178</v>
      </c>
      <c r="K200" s="9" t="s">
        <v>179</v>
      </c>
      <c r="L200" s="9" t="s">
        <v>180</v>
      </c>
      <c r="M200" s="9">
        <v>14504</v>
      </c>
      <c r="N200" s="9">
        <v>0.60397131825703299</v>
      </c>
      <c r="O200" s="9">
        <v>0.271308225966303</v>
      </c>
      <c r="P200" s="9">
        <v>0.37442297828688698</v>
      </c>
      <c r="Q200" s="9">
        <v>9.0500000000000007</v>
      </c>
      <c r="R200" s="9">
        <v>2621</v>
      </c>
      <c r="S200" s="9">
        <v>2621</v>
      </c>
      <c r="T200" s="9">
        <v>443366</v>
      </c>
      <c r="U200" s="9">
        <v>27782</v>
      </c>
      <c r="V200" s="9">
        <v>471148</v>
      </c>
      <c r="W200" s="9">
        <v>90</v>
      </c>
      <c r="X200" s="9">
        <v>443366</v>
      </c>
      <c r="Y200" s="9">
        <v>27782</v>
      </c>
      <c r="Z200" s="9">
        <v>471148</v>
      </c>
      <c r="AA200" s="9">
        <v>65280</v>
      </c>
      <c r="AB200" s="9">
        <v>65280</v>
      </c>
      <c r="AC200" s="9">
        <v>0</v>
      </c>
      <c r="AD200" s="9">
        <v>0</v>
      </c>
      <c r="AE200" s="9">
        <v>0.13700000000000001</v>
      </c>
      <c r="AF200" s="9">
        <v>8.7989999999999995</v>
      </c>
      <c r="AG200" s="9">
        <v>1.2999999999999999E-2</v>
      </c>
      <c r="AH200" s="9">
        <v>9.8000000000000004E-2</v>
      </c>
      <c r="AI200" s="9">
        <v>7.0999999999999994E-2</v>
      </c>
      <c r="AJ200" s="9">
        <v>1.2E-2</v>
      </c>
      <c r="AK200" s="9">
        <v>0.26100000000000001</v>
      </c>
      <c r="AL200" s="9">
        <v>0</v>
      </c>
      <c r="AM200" s="9">
        <v>0.46899999999999997</v>
      </c>
      <c r="AN200" s="9">
        <v>7.827</v>
      </c>
      <c r="AO200" s="9">
        <v>0.06</v>
      </c>
      <c r="AP200" s="9">
        <v>9.8000000000000004E-2</v>
      </c>
      <c r="AQ200" s="9">
        <v>0</v>
      </c>
      <c r="AR200" s="9">
        <v>0</v>
      </c>
      <c r="AS200" s="9">
        <v>0</v>
      </c>
      <c r="AT200" s="9" t="s">
        <v>243</v>
      </c>
      <c r="AU200" s="9" t="s">
        <v>243</v>
      </c>
      <c r="AV200" s="9" t="b">
        <v>0</v>
      </c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</row>
    <row r="201" spans="1:102" ht="16" customHeight="1" x14ac:dyDescent="0.2">
      <c r="A201" s="8" t="s">
        <v>44</v>
      </c>
      <c r="B201" s="9" t="s">
        <v>393</v>
      </c>
      <c r="C201" s="9" t="s">
        <v>265</v>
      </c>
      <c r="D201" s="9" t="s">
        <v>174</v>
      </c>
      <c r="E201" s="9" t="s">
        <v>175</v>
      </c>
      <c r="F201" s="9" t="s">
        <v>176</v>
      </c>
      <c r="G201" s="9">
        <v>0.5</v>
      </c>
      <c r="H201" s="9">
        <v>5</v>
      </c>
      <c r="I201" s="9" t="s">
        <v>177</v>
      </c>
      <c r="J201" s="9" t="s">
        <v>178</v>
      </c>
      <c r="K201" s="9" t="s">
        <v>179</v>
      </c>
      <c r="L201" s="9" t="s">
        <v>180</v>
      </c>
      <c r="M201" s="9">
        <v>13920</v>
      </c>
      <c r="N201" s="9">
        <v>0.63850574712643704</v>
      </c>
      <c r="O201" s="9">
        <v>0.27527254707631299</v>
      </c>
      <c r="P201" s="9">
        <v>0.384695290858726</v>
      </c>
      <c r="Q201" s="9">
        <v>10.23</v>
      </c>
      <c r="R201" s="9">
        <v>3276</v>
      </c>
      <c r="S201" s="9">
        <v>3276</v>
      </c>
      <c r="T201" s="9">
        <v>554445</v>
      </c>
      <c r="U201" s="9">
        <v>36372</v>
      </c>
      <c r="V201" s="9">
        <v>590817</v>
      </c>
      <c r="W201" s="9">
        <v>110</v>
      </c>
      <c r="X201" s="9">
        <v>554445</v>
      </c>
      <c r="Y201" s="9">
        <v>36372</v>
      </c>
      <c r="Z201" s="9">
        <v>590817</v>
      </c>
      <c r="AA201" s="9">
        <v>65280</v>
      </c>
      <c r="AB201" s="9">
        <v>65280</v>
      </c>
      <c r="AC201" s="9">
        <v>0</v>
      </c>
      <c r="AD201" s="9">
        <v>0</v>
      </c>
      <c r="AE201" s="9">
        <v>0.13800000000000001</v>
      </c>
      <c r="AF201" s="9">
        <v>9.9849999999999994</v>
      </c>
      <c r="AG201" s="9">
        <v>1.0999999999999999E-2</v>
      </c>
      <c r="AH201" s="9">
        <v>9.8000000000000004E-2</v>
      </c>
      <c r="AI201" s="9">
        <v>9.5000000000000001E-2</v>
      </c>
      <c r="AJ201" s="9">
        <v>1.0999999999999999E-2</v>
      </c>
      <c r="AK201" s="9">
        <v>0.25700000000000001</v>
      </c>
      <c r="AL201" s="9">
        <v>0</v>
      </c>
      <c r="AM201" s="9">
        <v>0.46400000000000002</v>
      </c>
      <c r="AN201" s="9">
        <v>8.9939999999999998</v>
      </c>
      <c r="AO201" s="9">
        <v>6.7000000000000004E-2</v>
      </c>
      <c r="AP201" s="9">
        <v>9.8000000000000004E-2</v>
      </c>
      <c r="AQ201" s="9">
        <v>0</v>
      </c>
      <c r="AR201" s="9">
        <v>0</v>
      </c>
      <c r="AS201" s="9">
        <v>0</v>
      </c>
      <c r="AT201" s="9" t="s">
        <v>243</v>
      </c>
      <c r="AU201" s="9" t="s">
        <v>243</v>
      </c>
      <c r="AV201" s="9" t="b">
        <v>0</v>
      </c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</row>
    <row r="202" spans="1:102" s="32" customFormat="1" ht="16" customHeight="1" x14ac:dyDescent="0.2">
      <c r="A202" s="30" t="s">
        <v>44</v>
      </c>
      <c r="B202" s="29" t="s">
        <v>394</v>
      </c>
      <c r="C202" s="29" t="s">
        <v>265</v>
      </c>
      <c r="D202" s="29" t="s">
        <v>174</v>
      </c>
      <c r="E202" s="29" t="s">
        <v>175</v>
      </c>
      <c r="F202" s="29" t="s">
        <v>176</v>
      </c>
      <c r="G202" s="29">
        <v>0.5</v>
      </c>
      <c r="H202" s="29">
        <v>6</v>
      </c>
      <c r="I202" s="29" t="s">
        <v>177</v>
      </c>
      <c r="J202" s="29" t="s">
        <v>178</v>
      </c>
      <c r="K202" s="29" t="s">
        <v>179</v>
      </c>
      <c r="L202" s="29" t="s">
        <v>180</v>
      </c>
      <c r="M202" s="29">
        <v>12520</v>
      </c>
      <c r="N202" s="29">
        <v>0.65942492012779597</v>
      </c>
      <c r="O202" s="29">
        <v>0.25569871159563901</v>
      </c>
      <c r="P202" s="29">
        <v>0.36850562399571501</v>
      </c>
      <c r="Q202" s="29">
        <v>11.22</v>
      </c>
      <c r="R202" s="29">
        <v>3932</v>
      </c>
      <c r="S202" s="29">
        <v>3932</v>
      </c>
      <c r="T202" s="29">
        <v>669937</v>
      </c>
      <c r="U202" s="29">
        <v>41646</v>
      </c>
      <c r="V202" s="29">
        <v>711583</v>
      </c>
      <c r="W202" s="29">
        <v>130</v>
      </c>
      <c r="X202" s="29">
        <v>669937</v>
      </c>
      <c r="Y202" s="29">
        <v>41646</v>
      </c>
      <c r="Z202" s="29">
        <v>711583</v>
      </c>
      <c r="AA202" s="29">
        <v>65280</v>
      </c>
      <c r="AB202" s="29">
        <v>65280</v>
      </c>
      <c r="AC202" s="29">
        <v>0</v>
      </c>
      <c r="AD202" s="29">
        <v>0</v>
      </c>
      <c r="AE202" s="29">
        <v>0.13700000000000001</v>
      </c>
      <c r="AF202" s="29">
        <v>10.965999999999999</v>
      </c>
      <c r="AG202" s="29">
        <v>1.4999999999999999E-2</v>
      </c>
      <c r="AH202" s="29">
        <v>0.10299999999999999</v>
      </c>
      <c r="AI202" s="29">
        <v>6.8000000000000005E-2</v>
      </c>
      <c r="AJ202" s="29">
        <v>1.0999999999999999E-2</v>
      </c>
      <c r="AK202" s="29">
        <v>0.245</v>
      </c>
      <c r="AL202" s="29">
        <v>0</v>
      </c>
      <c r="AM202" s="29">
        <v>0.49099999999999999</v>
      </c>
      <c r="AN202" s="29">
        <v>9.9920000000000009</v>
      </c>
      <c r="AO202" s="29">
        <v>5.3999999999999999E-2</v>
      </c>
      <c r="AP202" s="29">
        <v>0.10299999999999999</v>
      </c>
      <c r="AQ202" s="29">
        <v>0</v>
      </c>
      <c r="AR202" s="29">
        <v>0</v>
      </c>
      <c r="AS202" s="29">
        <v>0</v>
      </c>
      <c r="AT202" s="29" t="s">
        <v>243</v>
      </c>
      <c r="AU202" s="29" t="s">
        <v>243</v>
      </c>
      <c r="AV202" s="29" t="b">
        <v>0</v>
      </c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</row>
    <row r="203" spans="1:102" ht="16" customHeight="1" x14ac:dyDescent="0.2">
      <c r="A203" s="8" t="s">
        <v>44</v>
      </c>
      <c r="B203" s="9" t="s">
        <v>395</v>
      </c>
      <c r="C203" s="9" t="s">
        <v>265</v>
      </c>
      <c r="D203" s="9" t="s">
        <v>174</v>
      </c>
      <c r="E203" s="9" t="s">
        <v>175</v>
      </c>
      <c r="F203" s="9" t="s">
        <v>176</v>
      </c>
      <c r="G203" s="9">
        <v>0.5</v>
      </c>
      <c r="H203" s="9">
        <v>7</v>
      </c>
      <c r="I203" s="9" t="s">
        <v>177</v>
      </c>
      <c r="J203" s="9" t="s">
        <v>178</v>
      </c>
      <c r="K203" s="9" t="s">
        <v>179</v>
      </c>
      <c r="L203" s="9" t="s">
        <v>180</v>
      </c>
      <c r="M203" s="9">
        <v>7336</v>
      </c>
      <c r="N203" s="9">
        <v>0.68811341330425302</v>
      </c>
      <c r="O203" s="9">
        <v>0.156342913776016</v>
      </c>
      <c r="P203" s="9">
        <v>0.25479507369271198</v>
      </c>
      <c r="Q203" s="9">
        <v>12.59</v>
      </c>
      <c r="R203" s="9">
        <v>4587</v>
      </c>
      <c r="S203" s="9">
        <v>4587</v>
      </c>
      <c r="T203" s="9">
        <v>786925</v>
      </c>
      <c r="U203" s="9">
        <v>48248</v>
      </c>
      <c r="V203" s="9">
        <v>835173</v>
      </c>
      <c r="W203" s="9">
        <v>150</v>
      </c>
      <c r="X203" s="9">
        <v>786925</v>
      </c>
      <c r="Y203" s="9">
        <v>48248</v>
      </c>
      <c r="Z203" s="9">
        <v>835173</v>
      </c>
      <c r="AA203" s="9">
        <v>65280</v>
      </c>
      <c r="AB203" s="9">
        <v>65280</v>
      </c>
      <c r="AC203" s="9">
        <v>0</v>
      </c>
      <c r="AD203" s="9">
        <v>0</v>
      </c>
      <c r="AE203" s="9">
        <v>0.13600000000000001</v>
      </c>
      <c r="AF203" s="9">
        <v>12.321999999999999</v>
      </c>
      <c r="AG203" s="9">
        <v>2.1000000000000001E-2</v>
      </c>
      <c r="AH203" s="9">
        <v>0.107</v>
      </c>
      <c r="AI203" s="9">
        <v>7.0000000000000007E-2</v>
      </c>
      <c r="AJ203" s="9">
        <v>1.0999999999999999E-2</v>
      </c>
      <c r="AK203" s="9">
        <v>0.255</v>
      </c>
      <c r="AL203" s="9">
        <v>0</v>
      </c>
      <c r="AM203" s="9">
        <v>0.51</v>
      </c>
      <c r="AN203" s="9">
        <v>11.346</v>
      </c>
      <c r="AO203" s="9">
        <v>4.9000000000000002E-2</v>
      </c>
      <c r="AP203" s="9">
        <v>0.107</v>
      </c>
      <c r="AQ203" s="9">
        <v>0</v>
      </c>
      <c r="AR203" s="9">
        <v>0</v>
      </c>
      <c r="AS203" s="9">
        <v>0</v>
      </c>
      <c r="AT203" s="9" t="s">
        <v>243</v>
      </c>
      <c r="AU203" s="9" t="s">
        <v>243</v>
      </c>
      <c r="AV203" s="9" t="b">
        <v>0</v>
      </c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</row>
    <row r="204" spans="1:102" ht="16" customHeight="1" x14ac:dyDescent="0.2">
      <c r="A204" s="8" t="s">
        <v>44</v>
      </c>
      <c r="B204" s="9" t="s">
        <v>396</v>
      </c>
      <c r="C204" s="9" t="s">
        <v>265</v>
      </c>
      <c r="D204" s="9" t="s">
        <v>174</v>
      </c>
      <c r="E204" s="9" t="s">
        <v>175</v>
      </c>
      <c r="F204" s="9" t="s">
        <v>176</v>
      </c>
      <c r="G204" s="9">
        <v>0.5</v>
      </c>
      <c r="H204" s="9">
        <v>8</v>
      </c>
      <c r="I204" s="9" t="s">
        <v>177</v>
      </c>
      <c r="J204" s="9" t="s">
        <v>178</v>
      </c>
      <c r="K204" s="9" t="s">
        <v>179</v>
      </c>
      <c r="L204" s="9" t="s">
        <v>180</v>
      </c>
      <c r="M204" s="9">
        <v>7440</v>
      </c>
      <c r="N204" s="9">
        <v>0.77419354838709697</v>
      </c>
      <c r="O204" s="9">
        <v>0.17839444995044601</v>
      </c>
      <c r="P204" s="9">
        <v>0.289971808296416</v>
      </c>
      <c r="Q204" s="9">
        <v>13.77</v>
      </c>
      <c r="R204" s="9">
        <v>5242</v>
      </c>
      <c r="S204" s="9">
        <v>5242</v>
      </c>
      <c r="T204" s="9">
        <v>897142</v>
      </c>
      <c r="U204" s="9">
        <v>54920</v>
      </c>
      <c r="V204" s="9">
        <v>952062</v>
      </c>
      <c r="W204" s="9">
        <v>170</v>
      </c>
      <c r="X204" s="9">
        <v>897142</v>
      </c>
      <c r="Y204" s="9">
        <v>54920</v>
      </c>
      <c r="Z204" s="9">
        <v>952062</v>
      </c>
      <c r="AA204" s="9">
        <v>65280</v>
      </c>
      <c r="AB204" s="9">
        <v>65280</v>
      </c>
      <c r="AC204" s="9">
        <v>0</v>
      </c>
      <c r="AD204" s="9">
        <v>0</v>
      </c>
      <c r="AE204" s="9">
        <v>0.13900000000000001</v>
      </c>
      <c r="AF204" s="9">
        <v>13.503</v>
      </c>
      <c r="AG204" s="9">
        <v>2.8000000000000001E-2</v>
      </c>
      <c r="AH204" s="9">
        <v>9.9000000000000005E-2</v>
      </c>
      <c r="AI204" s="9">
        <v>6.9000000000000006E-2</v>
      </c>
      <c r="AJ204" s="9">
        <v>1.2E-2</v>
      </c>
      <c r="AK204" s="9">
        <v>0.251</v>
      </c>
      <c r="AL204" s="9">
        <v>0</v>
      </c>
      <c r="AM204" s="9">
        <v>0.48699999999999999</v>
      </c>
      <c r="AN204" s="9">
        <v>12.561</v>
      </c>
      <c r="AO204" s="9">
        <v>3.6999999999999998E-2</v>
      </c>
      <c r="AP204" s="9">
        <v>9.9000000000000005E-2</v>
      </c>
      <c r="AQ204" s="9">
        <v>0</v>
      </c>
      <c r="AR204" s="9">
        <v>0</v>
      </c>
      <c r="AS204" s="9">
        <v>0</v>
      </c>
      <c r="AT204" s="9" t="s">
        <v>243</v>
      </c>
      <c r="AU204" s="9" t="s">
        <v>243</v>
      </c>
      <c r="AV204" s="9" t="b">
        <v>0</v>
      </c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</row>
    <row r="205" spans="1:102" ht="16" customHeight="1" x14ac:dyDescent="0.2">
      <c r="A205" s="8" t="s">
        <v>44</v>
      </c>
      <c r="B205" s="9" t="s">
        <v>397</v>
      </c>
      <c r="C205" s="9" t="s">
        <v>265</v>
      </c>
      <c r="D205" s="9" t="s">
        <v>174</v>
      </c>
      <c r="E205" s="9" t="s">
        <v>175</v>
      </c>
      <c r="F205" s="9" t="s">
        <v>176</v>
      </c>
      <c r="G205" s="9">
        <v>0.5</v>
      </c>
      <c r="H205" s="9">
        <v>9</v>
      </c>
      <c r="I205" s="9" t="s">
        <v>177</v>
      </c>
      <c r="J205" s="9" t="s">
        <v>178</v>
      </c>
      <c r="K205" s="9" t="s">
        <v>179</v>
      </c>
      <c r="L205" s="9" t="s">
        <v>180</v>
      </c>
      <c r="M205" s="9">
        <v>7704</v>
      </c>
      <c r="N205" s="9">
        <v>0.76427829698857697</v>
      </c>
      <c r="O205" s="9">
        <v>0.182358771060456</v>
      </c>
      <c r="P205" s="9">
        <v>0.29445889177835599</v>
      </c>
      <c r="Q205" s="9">
        <v>15.04</v>
      </c>
      <c r="R205" s="9">
        <v>5898</v>
      </c>
      <c r="S205" s="9">
        <v>5898</v>
      </c>
      <c r="T205" s="9">
        <v>1011527</v>
      </c>
      <c r="U205" s="9">
        <v>61818</v>
      </c>
      <c r="V205" s="9">
        <v>1073345</v>
      </c>
      <c r="W205" s="9">
        <v>190</v>
      </c>
      <c r="X205" s="9">
        <v>1011527</v>
      </c>
      <c r="Y205" s="9">
        <v>61818</v>
      </c>
      <c r="Z205" s="9">
        <v>1073345</v>
      </c>
      <c r="AA205" s="9">
        <v>65280</v>
      </c>
      <c r="AB205" s="9">
        <v>65280</v>
      </c>
      <c r="AC205" s="9">
        <v>0</v>
      </c>
      <c r="AD205" s="9">
        <v>0</v>
      </c>
      <c r="AE205" s="9">
        <v>0.13600000000000001</v>
      </c>
      <c r="AF205" s="9">
        <v>14.765000000000001</v>
      </c>
      <c r="AG205" s="9">
        <v>2.5999999999999999E-2</v>
      </c>
      <c r="AH205" s="9">
        <v>0.108</v>
      </c>
      <c r="AI205" s="9">
        <v>6.7000000000000004E-2</v>
      </c>
      <c r="AJ205" s="9">
        <v>0.01</v>
      </c>
      <c r="AK205" s="9">
        <v>0.247</v>
      </c>
      <c r="AL205" s="9">
        <v>0</v>
      </c>
      <c r="AM205" s="9">
        <v>0.53400000000000003</v>
      </c>
      <c r="AN205" s="9">
        <v>13.776</v>
      </c>
      <c r="AO205" s="9">
        <v>5.0999999999999997E-2</v>
      </c>
      <c r="AP205" s="9">
        <v>0.108</v>
      </c>
      <c r="AQ205" s="9">
        <v>0</v>
      </c>
      <c r="AR205" s="9">
        <v>0</v>
      </c>
      <c r="AS205" s="9">
        <v>0</v>
      </c>
      <c r="AT205" s="9" t="s">
        <v>243</v>
      </c>
      <c r="AU205" s="9" t="s">
        <v>243</v>
      </c>
      <c r="AV205" s="9" t="b">
        <v>0</v>
      </c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</row>
    <row r="206" spans="1:102" ht="16" customHeight="1" x14ac:dyDescent="0.2">
      <c r="A206" s="8" t="s">
        <v>44</v>
      </c>
      <c r="B206" s="9" t="s">
        <v>398</v>
      </c>
      <c r="C206" s="9" t="s">
        <v>265</v>
      </c>
      <c r="D206" s="9" t="s">
        <v>174</v>
      </c>
      <c r="E206" s="9" t="s">
        <v>175</v>
      </c>
      <c r="F206" s="9" t="s">
        <v>176</v>
      </c>
      <c r="G206" s="9">
        <v>0.5</v>
      </c>
      <c r="H206" s="9">
        <v>10</v>
      </c>
      <c r="I206" s="9" t="s">
        <v>177</v>
      </c>
      <c r="J206" s="9" t="s">
        <v>178</v>
      </c>
      <c r="K206" s="9" t="s">
        <v>179</v>
      </c>
      <c r="L206" s="9" t="s">
        <v>180</v>
      </c>
      <c r="M206" s="9">
        <v>7152</v>
      </c>
      <c r="N206" s="9">
        <v>0.76621923937360203</v>
      </c>
      <c r="O206" s="9">
        <v>0.16972249752229901</v>
      </c>
      <c r="P206" s="9">
        <v>0.27789046653144001</v>
      </c>
      <c r="Q206" s="9">
        <v>17.36</v>
      </c>
      <c r="R206" s="9">
        <v>6553</v>
      </c>
      <c r="S206" s="9">
        <v>6553</v>
      </c>
      <c r="T206" s="9">
        <v>1129328</v>
      </c>
      <c r="U206" s="9">
        <v>69470</v>
      </c>
      <c r="V206" s="9">
        <v>1198798</v>
      </c>
      <c r="W206" s="9">
        <v>210</v>
      </c>
      <c r="X206" s="9">
        <v>1129328</v>
      </c>
      <c r="Y206" s="9">
        <v>69470</v>
      </c>
      <c r="Z206" s="9">
        <v>1198798</v>
      </c>
      <c r="AA206" s="9">
        <v>65280</v>
      </c>
      <c r="AB206" s="9">
        <v>65280</v>
      </c>
      <c r="AC206" s="9">
        <v>0</v>
      </c>
      <c r="AD206" s="9">
        <v>0</v>
      </c>
      <c r="AE206" s="9">
        <v>0.13800000000000001</v>
      </c>
      <c r="AF206" s="9">
        <v>17.077000000000002</v>
      </c>
      <c r="AG206" s="9">
        <v>3.2000000000000001E-2</v>
      </c>
      <c r="AH206" s="9">
        <v>0.108</v>
      </c>
      <c r="AI206" s="9">
        <v>6.7000000000000004E-2</v>
      </c>
      <c r="AJ206" s="9">
        <v>1.2E-2</v>
      </c>
      <c r="AK206" s="9">
        <v>0.254</v>
      </c>
      <c r="AL206" s="9">
        <v>0</v>
      </c>
      <c r="AM206" s="9">
        <v>0.53300000000000003</v>
      </c>
      <c r="AN206" s="9">
        <v>16.084</v>
      </c>
      <c r="AO206" s="9">
        <v>4.9000000000000002E-2</v>
      </c>
      <c r="AP206" s="9">
        <v>0.108</v>
      </c>
      <c r="AQ206" s="9">
        <v>0</v>
      </c>
      <c r="AR206" s="9">
        <v>0</v>
      </c>
      <c r="AS206" s="9">
        <v>0</v>
      </c>
      <c r="AT206" s="9" t="s">
        <v>243</v>
      </c>
      <c r="AU206" s="9" t="s">
        <v>243</v>
      </c>
      <c r="AV206" s="9" t="b">
        <v>0</v>
      </c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</row>
    <row r="207" spans="1:102" ht="16" customHeight="1" x14ac:dyDescent="0.2">
      <c r="A207" s="8" t="s">
        <v>44</v>
      </c>
      <c r="B207" s="9" t="s">
        <v>399</v>
      </c>
      <c r="C207" s="9" t="s">
        <v>276</v>
      </c>
      <c r="D207" s="9" t="s">
        <v>174</v>
      </c>
      <c r="E207" s="9" t="s">
        <v>175</v>
      </c>
      <c r="F207" s="9" t="s">
        <v>176</v>
      </c>
      <c r="G207" s="9">
        <v>0.5</v>
      </c>
      <c r="H207" s="9">
        <v>1</v>
      </c>
      <c r="I207" s="9" t="s">
        <v>177</v>
      </c>
      <c r="J207" s="9" t="s">
        <v>178</v>
      </c>
      <c r="K207" s="9" t="s">
        <v>179</v>
      </c>
      <c r="L207" s="9" t="s">
        <v>180</v>
      </c>
      <c r="M207" s="9">
        <v>16640</v>
      </c>
      <c r="N207" s="9">
        <v>0.54615384615384599</v>
      </c>
      <c r="O207" s="9">
        <v>0.28146679881070402</v>
      </c>
      <c r="P207" s="9">
        <v>0.37148463047743602</v>
      </c>
      <c r="Q207" s="9">
        <v>2.82</v>
      </c>
      <c r="R207" s="9">
        <v>655</v>
      </c>
      <c r="S207" s="9">
        <v>655</v>
      </c>
      <c r="T207" s="9">
        <v>109362</v>
      </c>
      <c r="U207" s="9">
        <v>8394</v>
      </c>
      <c r="V207" s="9">
        <v>117756</v>
      </c>
      <c r="W207" s="9">
        <v>21</v>
      </c>
      <c r="X207" s="9">
        <v>109362</v>
      </c>
      <c r="Y207" s="9">
        <v>8394</v>
      </c>
      <c r="Z207" s="9">
        <v>117756</v>
      </c>
      <c r="AA207" s="9">
        <v>65280</v>
      </c>
      <c r="AB207" s="9">
        <v>65280</v>
      </c>
      <c r="AC207" s="9">
        <v>0</v>
      </c>
      <c r="AD207" s="9">
        <v>0</v>
      </c>
      <c r="AE207" s="9">
        <v>0.14099999999999999</v>
      </c>
      <c r="AF207" s="9">
        <v>2.5710000000000002</v>
      </c>
      <c r="AG207" s="9">
        <v>5.0000000000000001E-3</v>
      </c>
      <c r="AH207" s="9">
        <v>0.105</v>
      </c>
      <c r="AI207" s="9">
        <v>6.8000000000000005E-2</v>
      </c>
      <c r="AJ207" s="9">
        <v>0</v>
      </c>
      <c r="AK207" s="9">
        <v>0.26400000000000001</v>
      </c>
      <c r="AL207" s="9">
        <v>0</v>
      </c>
      <c r="AM207" s="9">
        <v>1E-3</v>
      </c>
      <c r="AN207" s="9">
        <v>2.036</v>
      </c>
      <c r="AO207" s="9">
        <v>9.2999999999999999E-2</v>
      </c>
      <c r="AP207" s="9">
        <v>0.105</v>
      </c>
      <c r="AQ207" s="9">
        <v>0</v>
      </c>
      <c r="AR207" s="9">
        <v>0</v>
      </c>
      <c r="AS207" s="9">
        <v>0</v>
      </c>
      <c r="AT207" s="9" t="s">
        <v>243</v>
      </c>
      <c r="AU207" s="9" t="s">
        <v>243</v>
      </c>
      <c r="AV207" s="9" t="b">
        <v>0</v>
      </c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</row>
    <row r="208" spans="1:102" ht="16" customHeight="1" x14ac:dyDescent="0.2">
      <c r="A208" s="8" t="s">
        <v>44</v>
      </c>
      <c r="B208" s="9" t="s">
        <v>400</v>
      </c>
      <c r="C208" s="9" t="s">
        <v>276</v>
      </c>
      <c r="D208" s="9" t="s">
        <v>174</v>
      </c>
      <c r="E208" s="9" t="s">
        <v>175</v>
      </c>
      <c r="F208" s="9" t="s">
        <v>176</v>
      </c>
      <c r="G208" s="9">
        <v>0.5</v>
      </c>
      <c r="H208" s="9">
        <v>2</v>
      </c>
      <c r="I208" s="9" t="s">
        <v>177</v>
      </c>
      <c r="J208" s="9" t="s">
        <v>178</v>
      </c>
      <c r="K208" s="9" t="s">
        <v>179</v>
      </c>
      <c r="L208" s="9" t="s">
        <v>180</v>
      </c>
      <c r="M208" s="9">
        <v>17008</v>
      </c>
      <c r="N208" s="9">
        <v>0.55738476011288796</v>
      </c>
      <c r="O208" s="9">
        <v>0.29360753221010899</v>
      </c>
      <c r="P208" s="9">
        <v>0.38461538461538503</v>
      </c>
      <c r="Q208" s="9">
        <v>4.95</v>
      </c>
      <c r="R208" s="9">
        <v>1310</v>
      </c>
      <c r="S208" s="9">
        <v>1310</v>
      </c>
      <c r="T208" s="9">
        <v>220890</v>
      </c>
      <c r="U208" s="9">
        <v>16788</v>
      </c>
      <c r="V208" s="9">
        <v>237678</v>
      </c>
      <c r="W208" s="9">
        <v>41</v>
      </c>
      <c r="X208" s="9">
        <v>220890</v>
      </c>
      <c r="Y208" s="9">
        <v>16788</v>
      </c>
      <c r="Z208" s="9">
        <v>237678</v>
      </c>
      <c r="AA208" s="9">
        <v>65280</v>
      </c>
      <c r="AB208" s="9">
        <v>65280</v>
      </c>
      <c r="AC208" s="9">
        <v>0</v>
      </c>
      <c r="AD208" s="9">
        <v>0</v>
      </c>
      <c r="AE208" s="9">
        <v>0.13600000000000001</v>
      </c>
      <c r="AF208" s="9">
        <v>4.7060000000000004</v>
      </c>
      <c r="AG208" s="9">
        <v>6.0000000000000001E-3</v>
      </c>
      <c r="AH208" s="9">
        <v>9.9000000000000005E-2</v>
      </c>
      <c r="AI208" s="9">
        <v>6.6000000000000003E-2</v>
      </c>
      <c r="AJ208" s="9">
        <v>0</v>
      </c>
      <c r="AK208" s="9">
        <v>0.249</v>
      </c>
      <c r="AL208" s="9">
        <v>0</v>
      </c>
      <c r="AM208" s="9">
        <v>1E-3</v>
      </c>
      <c r="AN208" s="9">
        <v>4.2060000000000004</v>
      </c>
      <c r="AO208" s="9">
        <v>7.0999999999999994E-2</v>
      </c>
      <c r="AP208" s="9">
        <v>9.9000000000000005E-2</v>
      </c>
      <c r="AQ208" s="9">
        <v>0</v>
      </c>
      <c r="AR208" s="9">
        <v>0</v>
      </c>
      <c r="AS208" s="9">
        <v>0</v>
      </c>
      <c r="AT208" s="9" t="s">
        <v>243</v>
      </c>
      <c r="AU208" s="9" t="s">
        <v>243</v>
      </c>
      <c r="AV208" s="9" t="b">
        <v>0</v>
      </c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</row>
    <row r="209" spans="1:102" ht="16" customHeight="1" x14ac:dyDescent="0.2">
      <c r="A209" s="8" t="s">
        <v>44</v>
      </c>
      <c r="B209" s="9" t="s">
        <v>401</v>
      </c>
      <c r="C209" s="9" t="s">
        <v>276</v>
      </c>
      <c r="D209" s="9" t="s">
        <v>174</v>
      </c>
      <c r="E209" s="9" t="s">
        <v>175</v>
      </c>
      <c r="F209" s="9" t="s">
        <v>176</v>
      </c>
      <c r="G209" s="9">
        <v>0.5</v>
      </c>
      <c r="H209" s="9">
        <v>3</v>
      </c>
      <c r="I209" s="9" t="s">
        <v>177</v>
      </c>
      <c r="J209" s="9" t="s">
        <v>178</v>
      </c>
      <c r="K209" s="9" t="s">
        <v>179</v>
      </c>
      <c r="L209" s="9" t="s">
        <v>180</v>
      </c>
      <c r="M209" s="9">
        <v>16784</v>
      </c>
      <c r="N209" s="9">
        <v>0.56291706387035301</v>
      </c>
      <c r="O209" s="9">
        <v>0.29261645193260699</v>
      </c>
      <c r="P209" s="9">
        <v>0.38506684056080898</v>
      </c>
      <c r="Q209" s="9">
        <v>5.41</v>
      </c>
      <c r="R209" s="9">
        <v>1966</v>
      </c>
      <c r="S209" s="9">
        <v>1966</v>
      </c>
      <c r="T209" s="9">
        <v>330272</v>
      </c>
      <c r="U209" s="9">
        <v>25268</v>
      </c>
      <c r="V209" s="9">
        <v>355540</v>
      </c>
      <c r="W209" s="9">
        <v>62</v>
      </c>
      <c r="X209" s="9">
        <v>330272</v>
      </c>
      <c r="Y209" s="9">
        <v>25268</v>
      </c>
      <c r="Z209" s="9">
        <v>355540</v>
      </c>
      <c r="AA209" s="9">
        <v>65280</v>
      </c>
      <c r="AB209" s="9">
        <v>65280</v>
      </c>
      <c r="AC209" s="9">
        <v>0</v>
      </c>
      <c r="AD209" s="9">
        <v>0</v>
      </c>
      <c r="AE209" s="9">
        <v>0.13800000000000001</v>
      </c>
      <c r="AF209" s="9">
        <v>5.1559999999999997</v>
      </c>
      <c r="AG209" s="9">
        <v>8.0000000000000002E-3</v>
      </c>
      <c r="AH209" s="9">
        <v>0.106</v>
      </c>
      <c r="AI209" s="9">
        <v>6.3E-2</v>
      </c>
      <c r="AJ209" s="9">
        <v>0</v>
      </c>
      <c r="AK209" s="9">
        <v>0.254</v>
      </c>
      <c r="AL209" s="9">
        <v>0</v>
      </c>
      <c r="AM209" s="9">
        <v>1E-3</v>
      </c>
      <c r="AN209" s="9">
        <v>4.625</v>
      </c>
      <c r="AO209" s="9">
        <v>9.7000000000000003E-2</v>
      </c>
      <c r="AP209" s="9">
        <v>0.106</v>
      </c>
      <c r="AQ209" s="9">
        <v>0</v>
      </c>
      <c r="AR209" s="9">
        <v>0</v>
      </c>
      <c r="AS209" s="9">
        <v>0</v>
      </c>
      <c r="AT209" s="9" t="s">
        <v>243</v>
      </c>
      <c r="AU209" s="9" t="s">
        <v>243</v>
      </c>
      <c r="AV209" s="9" t="b">
        <v>0</v>
      </c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</row>
    <row r="210" spans="1:102" ht="16" customHeight="1" x14ac:dyDescent="0.2">
      <c r="A210" s="8" t="s">
        <v>44</v>
      </c>
      <c r="B210" s="9" t="s">
        <v>402</v>
      </c>
      <c r="C210" s="9" t="s">
        <v>276</v>
      </c>
      <c r="D210" s="9" t="s">
        <v>174</v>
      </c>
      <c r="E210" s="9" t="s">
        <v>175</v>
      </c>
      <c r="F210" s="9" t="s">
        <v>176</v>
      </c>
      <c r="G210" s="9">
        <v>0.5</v>
      </c>
      <c r="H210" s="9">
        <v>4</v>
      </c>
      <c r="I210" s="9" t="s">
        <v>177</v>
      </c>
      <c r="J210" s="9" t="s">
        <v>178</v>
      </c>
      <c r="K210" s="9" t="s">
        <v>179</v>
      </c>
      <c r="L210" s="9" t="s">
        <v>180</v>
      </c>
      <c r="M210" s="9">
        <v>16176</v>
      </c>
      <c r="N210" s="9">
        <v>0.57912957467853599</v>
      </c>
      <c r="O210" s="9">
        <v>0.29013875123885002</v>
      </c>
      <c r="P210" s="9">
        <v>0.38659623638164398</v>
      </c>
      <c r="Q210" s="9">
        <v>6.73</v>
      </c>
      <c r="R210" s="9">
        <v>2621</v>
      </c>
      <c r="S210" s="9">
        <v>2621</v>
      </c>
      <c r="T210" s="9">
        <v>439400</v>
      </c>
      <c r="U210" s="9">
        <v>33648</v>
      </c>
      <c r="V210" s="9">
        <v>473048</v>
      </c>
      <c r="W210" s="9">
        <v>82</v>
      </c>
      <c r="X210" s="9">
        <v>439400</v>
      </c>
      <c r="Y210" s="9">
        <v>33648</v>
      </c>
      <c r="Z210" s="9">
        <v>473048</v>
      </c>
      <c r="AA210" s="9">
        <v>65280</v>
      </c>
      <c r="AB210" s="9">
        <v>65280</v>
      </c>
      <c r="AC210" s="9">
        <v>0</v>
      </c>
      <c r="AD210" s="9">
        <v>0</v>
      </c>
      <c r="AE210" s="9">
        <v>0.13800000000000001</v>
      </c>
      <c r="AF210" s="9">
        <v>6.4820000000000002</v>
      </c>
      <c r="AG210" s="9">
        <v>0.01</v>
      </c>
      <c r="AH210" s="9">
        <v>0.105</v>
      </c>
      <c r="AI210" s="9">
        <v>6.5000000000000002E-2</v>
      </c>
      <c r="AJ210" s="9">
        <v>0</v>
      </c>
      <c r="AK210" s="9">
        <v>0.251</v>
      </c>
      <c r="AL210" s="9">
        <v>0</v>
      </c>
      <c r="AM210" s="9">
        <v>1E-3</v>
      </c>
      <c r="AN210" s="9">
        <v>5.9669999999999996</v>
      </c>
      <c r="AO210" s="9">
        <v>9.2999999999999999E-2</v>
      </c>
      <c r="AP210" s="9">
        <v>0.105</v>
      </c>
      <c r="AQ210" s="9">
        <v>0</v>
      </c>
      <c r="AR210" s="9">
        <v>0</v>
      </c>
      <c r="AS210" s="9">
        <v>0</v>
      </c>
      <c r="AT210" s="9" t="s">
        <v>243</v>
      </c>
      <c r="AU210" s="9" t="s">
        <v>243</v>
      </c>
      <c r="AV210" s="9" t="b">
        <v>0</v>
      </c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</row>
    <row r="211" spans="1:102" ht="16" customHeight="1" x14ac:dyDescent="0.2">
      <c r="A211" s="8" t="s">
        <v>44</v>
      </c>
      <c r="B211" s="9" t="s">
        <v>403</v>
      </c>
      <c r="C211" s="9" t="s">
        <v>276</v>
      </c>
      <c r="D211" s="9" t="s">
        <v>174</v>
      </c>
      <c r="E211" s="9" t="s">
        <v>175</v>
      </c>
      <c r="F211" s="9" t="s">
        <v>176</v>
      </c>
      <c r="G211" s="9">
        <v>0.5</v>
      </c>
      <c r="H211" s="9">
        <v>5</v>
      </c>
      <c r="I211" s="9" t="s">
        <v>177</v>
      </c>
      <c r="J211" s="9" t="s">
        <v>178</v>
      </c>
      <c r="K211" s="9" t="s">
        <v>179</v>
      </c>
      <c r="L211" s="9" t="s">
        <v>180</v>
      </c>
      <c r="M211" s="9">
        <v>15616</v>
      </c>
      <c r="N211" s="9">
        <v>0.59272540983606603</v>
      </c>
      <c r="O211" s="9">
        <v>0.286669970267592</v>
      </c>
      <c r="P211" s="9">
        <v>0.38643954575818301</v>
      </c>
      <c r="Q211" s="9">
        <v>8.02</v>
      </c>
      <c r="R211" s="9">
        <v>3276</v>
      </c>
      <c r="S211" s="9">
        <v>3276</v>
      </c>
      <c r="T211" s="9">
        <v>549719</v>
      </c>
      <c r="U211" s="9">
        <v>42098</v>
      </c>
      <c r="V211" s="9">
        <v>591817</v>
      </c>
      <c r="W211" s="9">
        <v>103</v>
      </c>
      <c r="X211" s="9">
        <v>549719</v>
      </c>
      <c r="Y211" s="9">
        <v>42098</v>
      </c>
      <c r="Z211" s="9">
        <v>591817</v>
      </c>
      <c r="AA211" s="9">
        <v>65280</v>
      </c>
      <c r="AB211" s="9">
        <v>65280</v>
      </c>
      <c r="AC211" s="9">
        <v>0</v>
      </c>
      <c r="AD211" s="9">
        <v>0</v>
      </c>
      <c r="AE211" s="9">
        <v>0.13600000000000001</v>
      </c>
      <c r="AF211" s="9">
        <v>7.766</v>
      </c>
      <c r="AG211" s="9">
        <v>1.2E-2</v>
      </c>
      <c r="AH211" s="9">
        <v>0.107</v>
      </c>
      <c r="AI211" s="9">
        <v>6.6000000000000003E-2</v>
      </c>
      <c r="AJ211" s="9">
        <v>0</v>
      </c>
      <c r="AK211" s="9">
        <v>0.26200000000000001</v>
      </c>
      <c r="AL211" s="9">
        <v>0</v>
      </c>
      <c r="AM211" s="9">
        <v>1E-3</v>
      </c>
      <c r="AN211" s="9">
        <v>7.2430000000000003</v>
      </c>
      <c r="AO211" s="9">
        <v>9.0999999999999998E-2</v>
      </c>
      <c r="AP211" s="9">
        <v>0.107</v>
      </c>
      <c r="AQ211" s="9">
        <v>0</v>
      </c>
      <c r="AR211" s="9">
        <v>0</v>
      </c>
      <c r="AS211" s="9">
        <v>0</v>
      </c>
      <c r="AT211" s="9" t="s">
        <v>243</v>
      </c>
      <c r="AU211" s="9" t="s">
        <v>243</v>
      </c>
      <c r="AV211" s="9" t="b">
        <v>0</v>
      </c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</row>
    <row r="212" spans="1:102" s="32" customFormat="1" ht="16" customHeight="1" x14ac:dyDescent="0.2">
      <c r="A212" s="30" t="s">
        <v>44</v>
      </c>
      <c r="B212" s="29" t="s">
        <v>404</v>
      </c>
      <c r="C212" s="29" t="s">
        <v>276</v>
      </c>
      <c r="D212" s="29" t="s">
        <v>174</v>
      </c>
      <c r="E212" s="29" t="s">
        <v>175</v>
      </c>
      <c r="F212" s="29" t="s">
        <v>176</v>
      </c>
      <c r="G212" s="29">
        <v>0.5</v>
      </c>
      <c r="H212" s="29">
        <v>6</v>
      </c>
      <c r="I212" s="29" t="s">
        <v>177</v>
      </c>
      <c r="J212" s="29" t="s">
        <v>178</v>
      </c>
      <c r="K212" s="29" t="s">
        <v>179</v>
      </c>
      <c r="L212" s="29" t="s">
        <v>180</v>
      </c>
      <c r="M212" s="29">
        <v>15064</v>
      </c>
      <c r="N212" s="29">
        <v>0.61656930430164603</v>
      </c>
      <c r="O212" s="29">
        <v>0.287661050545094</v>
      </c>
      <c r="P212" s="29">
        <v>0.39229599594526099</v>
      </c>
      <c r="Q212" s="29">
        <v>9.56</v>
      </c>
      <c r="R212" s="29">
        <v>3932</v>
      </c>
      <c r="S212" s="29">
        <v>3932</v>
      </c>
      <c r="T212" s="29">
        <v>659554</v>
      </c>
      <c r="U212" s="29">
        <v>50536</v>
      </c>
      <c r="V212" s="29">
        <v>710090</v>
      </c>
      <c r="W212" s="29">
        <v>123</v>
      </c>
      <c r="X212" s="29">
        <v>659554</v>
      </c>
      <c r="Y212" s="29">
        <v>50536</v>
      </c>
      <c r="Z212" s="29">
        <v>710090</v>
      </c>
      <c r="AA212" s="29">
        <v>65280</v>
      </c>
      <c r="AB212" s="29">
        <v>65280</v>
      </c>
      <c r="AC212" s="29">
        <v>0</v>
      </c>
      <c r="AD212" s="29">
        <v>0</v>
      </c>
      <c r="AE212" s="29">
        <v>0.14000000000000001</v>
      </c>
      <c r="AF212" s="29">
        <v>9.3109999999999999</v>
      </c>
      <c r="AG212" s="29">
        <v>1.2999999999999999E-2</v>
      </c>
      <c r="AH212" s="29">
        <v>9.7000000000000003E-2</v>
      </c>
      <c r="AI212" s="29">
        <v>7.4999999999999997E-2</v>
      </c>
      <c r="AJ212" s="29">
        <v>0</v>
      </c>
      <c r="AK212" s="29">
        <v>0.254</v>
      </c>
      <c r="AL212" s="29">
        <v>0</v>
      </c>
      <c r="AM212" s="29">
        <v>1E-3</v>
      </c>
      <c r="AN212" s="29">
        <v>8.8019999999999996</v>
      </c>
      <c r="AO212" s="29">
        <v>6.4000000000000001E-2</v>
      </c>
      <c r="AP212" s="29">
        <v>9.7000000000000003E-2</v>
      </c>
      <c r="AQ212" s="29">
        <v>0</v>
      </c>
      <c r="AR212" s="29">
        <v>0</v>
      </c>
      <c r="AS212" s="29">
        <v>0</v>
      </c>
      <c r="AT212" s="29" t="s">
        <v>243</v>
      </c>
      <c r="AU212" s="29" t="s">
        <v>243</v>
      </c>
      <c r="AV212" s="29" t="b">
        <v>0</v>
      </c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</row>
    <row r="213" spans="1:102" ht="16" customHeight="1" x14ac:dyDescent="0.2">
      <c r="A213" s="8" t="s">
        <v>44</v>
      </c>
      <c r="B213" s="9" t="s">
        <v>405</v>
      </c>
      <c r="C213" s="9" t="s">
        <v>276</v>
      </c>
      <c r="D213" s="9" t="s">
        <v>174</v>
      </c>
      <c r="E213" s="9" t="s">
        <v>175</v>
      </c>
      <c r="F213" s="9" t="s">
        <v>176</v>
      </c>
      <c r="G213" s="9">
        <v>0.5</v>
      </c>
      <c r="H213" s="9">
        <v>7</v>
      </c>
      <c r="I213" s="9" t="s">
        <v>177</v>
      </c>
      <c r="J213" s="9" t="s">
        <v>178</v>
      </c>
      <c r="K213" s="9" t="s">
        <v>179</v>
      </c>
      <c r="L213" s="9" t="s">
        <v>180</v>
      </c>
      <c r="M213" s="9">
        <v>14928</v>
      </c>
      <c r="N213" s="9">
        <v>0.62433011789924997</v>
      </c>
      <c r="O213" s="9">
        <v>0.288652130822597</v>
      </c>
      <c r="P213" s="9">
        <v>0.39478143002372101</v>
      </c>
      <c r="Q213" s="9">
        <v>10.9</v>
      </c>
      <c r="R213" s="9">
        <v>4587</v>
      </c>
      <c r="S213" s="9">
        <v>4587</v>
      </c>
      <c r="T213" s="9">
        <v>768434</v>
      </c>
      <c r="U213" s="9">
        <v>58944</v>
      </c>
      <c r="V213" s="9">
        <v>827378</v>
      </c>
      <c r="W213" s="9">
        <v>144</v>
      </c>
      <c r="X213" s="9">
        <v>768434</v>
      </c>
      <c r="Y213" s="9">
        <v>58944</v>
      </c>
      <c r="Z213" s="9">
        <v>827378</v>
      </c>
      <c r="AA213" s="9">
        <v>65280</v>
      </c>
      <c r="AB213" s="9">
        <v>65280</v>
      </c>
      <c r="AC213" s="9">
        <v>0</v>
      </c>
      <c r="AD213" s="9">
        <v>0</v>
      </c>
      <c r="AE213" s="9">
        <v>0.13700000000000001</v>
      </c>
      <c r="AF213" s="9">
        <v>10.654</v>
      </c>
      <c r="AG213" s="9">
        <v>1.4999999999999999E-2</v>
      </c>
      <c r="AH213" s="9">
        <v>9.6000000000000002E-2</v>
      </c>
      <c r="AI213" s="9">
        <v>7.3999999999999996E-2</v>
      </c>
      <c r="AJ213" s="9">
        <v>0</v>
      </c>
      <c r="AK213" s="9">
        <v>0.255</v>
      </c>
      <c r="AL213" s="9">
        <v>0</v>
      </c>
      <c r="AM213" s="9">
        <v>2E-3</v>
      </c>
      <c r="AN213" s="9">
        <v>10.157</v>
      </c>
      <c r="AO213" s="9">
        <v>6.3E-2</v>
      </c>
      <c r="AP213" s="9">
        <v>9.6000000000000002E-2</v>
      </c>
      <c r="AQ213" s="9">
        <v>0</v>
      </c>
      <c r="AR213" s="9">
        <v>0</v>
      </c>
      <c r="AS213" s="9">
        <v>0</v>
      </c>
      <c r="AT213" s="9" t="s">
        <v>243</v>
      </c>
      <c r="AU213" s="9" t="s">
        <v>243</v>
      </c>
      <c r="AV213" s="9" t="b">
        <v>0</v>
      </c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</row>
    <row r="214" spans="1:102" ht="16" customHeight="1" x14ac:dyDescent="0.2">
      <c r="A214" s="8" t="s">
        <v>44</v>
      </c>
      <c r="B214" s="9" t="s">
        <v>406</v>
      </c>
      <c r="C214" s="9" t="s">
        <v>276</v>
      </c>
      <c r="D214" s="9" t="s">
        <v>174</v>
      </c>
      <c r="E214" s="9" t="s">
        <v>175</v>
      </c>
      <c r="F214" s="9" t="s">
        <v>176</v>
      </c>
      <c r="G214" s="9">
        <v>0.5</v>
      </c>
      <c r="H214" s="9">
        <v>8</v>
      </c>
      <c r="I214" s="9" t="s">
        <v>177</v>
      </c>
      <c r="J214" s="9" t="s">
        <v>178</v>
      </c>
      <c r="K214" s="9" t="s">
        <v>179</v>
      </c>
      <c r="L214" s="9" t="s">
        <v>180</v>
      </c>
      <c r="M214" s="9">
        <v>15056</v>
      </c>
      <c r="N214" s="9">
        <v>0.61477151965993604</v>
      </c>
      <c r="O214" s="9">
        <v>0.286669970267592</v>
      </c>
      <c r="P214" s="9">
        <v>0.391010476512335</v>
      </c>
      <c r="Q214" s="9">
        <v>12.32</v>
      </c>
      <c r="R214" s="9">
        <v>5242</v>
      </c>
      <c r="S214" s="9">
        <v>5242</v>
      </c>
      <c r="T214" s="9">
        <v>876626</v>
      </c>
      <c r="U214" s="9">
        <v>67450</v>
      </c>
      <c r="V214" s="9">
        <v>944076</v>
      </c>
      <c r="W214" s="9">
        <v>164</v>
      </c>
      <c r="X214" s="9">
        <v>876626</v>
      </c>
      <c r="Y214" s="9">
        <v>67450</v>
      </c>
      <c r="Z214" s="9">
        <v>944076</v>
      </c>
      <c r="AA214" s="9">
        <v>65280</v>
      </c>
      <c r="AB214" s="9">
        <v>65280</v>
      </c>
      <c r="AC214" s="9">
        <v>0</v>
      </c>
      <c r="AD214" s="9">
        <v>0</v>
      </c>
      <c r="AE214" s="9">
        <v>0.13500000000000001</v>
      </c>
      <c r="AF214" s="9">
        <v>12.071999999999999</v>
      </c>
      <c r="AG214" s="9">
        <v>1.7000000000000001E-2</v>
      </c>
      <c r="AH214" s="9">
        <v>9.8000000000000004E-2</v>
      </c>
      <c r="AI214" s="9">
        <v>6.7000000000000004E-2</v>
      </c>
      <c r="AJ214" s="9">
        <v>0</v>
      </c>
      <c r="AK214" s="9">
        <v>0.254</v>
      </c>
      <c r="AL214" s="9">
        <v>0</v>
      </c>
      <c r="AM214" s="9">
        <v>2E-3</v>
      </c>
      <c r="AN214" s="9">
        <v>11.583</v>
      </c>
      <c r="AO214" s="9">
        <v>6.3E-2</v>
      </c>
      <c r="AP214" s="9">
        <v>9.8000000000000004E-2</v>
      </c>
      <c r="AQ214" s="9">
        <v>0</v>
      </c>
      <c r="AR214" s="9">
        <v>0</v>
      </c>
      <c r="AS214" s="9">
        <v>0</v>
      </c>
      <c r="AT214" s="9" t="s">
        <v>243</v>
      </c>
      <c r="AU214" s="9" t="s">
        <v>243</v>
      </c>
      <c r="AV214" s="9" t="b">
        <v>0</v>
      </c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</row>
    <row r="215" spans="1:102" ht="16" customHeight="1" x14ac:dyDescent="0.2">
      <c r="A215" s="8" t="s">
        <v>44</v>
      </c>
      <c r="B215" s="9" t="s">
        <v>407</v>
      </c>
      <c r="C215" s="9" t="s">
        <v>276</v>
      </c>
      <c r="D215" s="9" t="s">
        <v>174</v>
      </c>
      <c r="E215" s="9" t="s">
        <v>175</v>
      </c>
      <c r="F215" s="9" t="s">
        <v>176</v>
      </c>
      <c r="G215" s="9">
        <v>0.5</v>
      </c>
      <c r="H215" s="9">
        <v>9</v>
      </c>
      <c r="I215" s="9" t="s">
        <v>177</v>
      </c>
      <c r="J215" s="9" t="s">
        <v>178</v>
      </c>
      <c r="K215" s="9" t="s">
        <v>179</v>
      </c>
      <c r="L215" s="9" t="s">
        <v>180</v>
      </c>
      <c r="M215" s="9">
        <v>14896</v>
      </c>
      <c r="N215" s="9">
        <v>0.61761546723952698</v>
      </c>
      <c r="O215" s="9">
        <v>0.28493557978196199</v>
      </c>
      <c r="P215" s="9">
        <v>0.38996269922007498</v>
      </c>
      <c r="Q215" s="9">
        <v>13.66</v>
      </c>
      <c r="R215" s="9">
        <v>5898</v>
      </c>
      <c r="S215" s="9">
        <v>5898</v>
      </c>
      <c r="T215" s="9">
        <v>985846</v>
      </c>
      <c r="U215" s="9">
        <v>76266</v>
      </c>
      <c r="V215" s="9">
        <v>1062112</v>
      </c>
      <c r="W215" s="9">
        <v>185</v>
      </c>
      <c r="X215" s="9">
        <v>985846</v>
      </c>
      <c r="Y215" s="9">
        <v>76266</v>
      </c>
      <c r="Z215" s="9">
        <v>1062112</v>
      </c>
      <c r="AA215" s="9">
        <v>65280</v>
      </c>
      <c r="AB215" s="9">
        <v>65280</v>
      </c>
      <c r="AC215" s="9">
        <v>0</v>
      </c>
      <c r="AD215" s="9">
        <v>0</v>
      </c>
      <c r="AE215" s="9">
        <v>0.13700000000000001</v>
      </c>
      <c r="AF215" s="9">
        <v>13.397</v>
      </c>
      <c r="AG215" s="9">
        <v>2.1999999999999999E-2</v>
      </c>
      <c r="AH215" s="9">
        <v>0.1</v>
      </c>
      <c r="AI215" s="9">
        <v>6.7000000000000004E-2</v>
      </c>
      <c r="AJ215" s="9">
        <v>0</v>
      </c>
      <c r="AK215" s="9">
        <v>0.24399999999999999</v>
      </c>
      <c r="AL215" s="9">
        <v>0</v>
      </c>
      <c r="AM215" s="9">
        <v>2E-3</v>
      </c>
      <c r="AN215" s="9">
        <v>12.919</v>
      </c>
      <c r="AO215" s="9">
        <v>6.4000000000000001E-2</v>
      </c>
      <c r="AP215" s="9">
        <v>0.1</v>
      </c>
      <c r="AQ215" s="9">
        <v>0</v>
      </c>
      <c r="AR215" s="9">
        <v>0</v>
      </c>
      <c r="AS215" s="9">
        <v>0</v>
      </c>
      <c r="AT215" s="9" t="s">
        <v>243</v>
      </c>
      <c r="AU215" s="9" t="s">
        <v>243</v>
      </c>
      <c r="AV215" s="9" t="b">
        <v>0</v>
      </c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</row>
    <row r="216" spans="1:102" ht="16" customHeight="1" x14ac:dyDescent="0.2">
      <c r="A216" s="8" t="s">
        <v>44</v>
      </c>
      <c r="B216" s="9" t="s">
        <v>408</v>
      </c>
      <c r="C216" s="9" t="s">
        <v>276</v>
      </c>
      <c r="D216" s="9" t="s">
        <v>174</v>
      </c>
      <c r="E216" s="9" t="s">
        <v>175</v>
      </c>
      <c r="F216" s="9" t="s">
        <v>176</v>
      </c>
      <c r="G216" s="9">
        <v>0.5</v>
      </c>
      <c r="H216" s="9">
        <v>10</v>
      </c>
      <c r="I216" s="9" t="s">
        <v>177</v>
      </c>
      <c r="J216" s="9" t="s">
        <v>178</v>
      </c>
      <c r="K216" s="9" t="s">
        <v>179</v>
      </c>
      <c r="L216" s="9" t="s">
        <v>180</v>
      </c>
      <c r="M216" s="9">
        <v>14800</v>
      </c>
      <c r="N216" s="9">
        <v>0.628648648648649</v>
      </c>
      <c r="O216" s="9">
        <v>0.28815659068384503</v>
      </c>
      <c r="P216" s="9">
        <v>0.39517499150526703</v>
      </c>
      <c r="Q216" s="9">
        <v>14.8</v>
      </c>
      <c r="R216" s="9">
        <v>6553</v>
      </c>
      <c r="S216" s="9">
        <v>6553</v>
      </c>
      <c r="T216" s="9">
        <v>1095888</v>
      </c>
      <c r="U216" s="9">
        <v>84478</v>
      </c>
      <c r="V216" s="9">
        <v>1180366</v>
      </c>
      <c r="W216" s="9">
        <v>205</v>
      </c>
      <c r="X216" s="9">
        <v>1095888</v>
      </c>
      <c r="Y216" s="9">
        <v>84478</v>
      </c>
      <c r="Z216" s="9">
        <v>1180366</v>
      </c>
      <c r="AA216" s="9">
        <v>65280</v>
      </c>
      <c r="AB216" s="9">
        <v>65280</v>
      </c>
      <c r="AC216" s="9">
        <v>0</v>
      </c>
      <c r="AD216" s="9">
        <v>0</v>
      </c>
      <c r="AE216" s="9">
        <v>0.13800000000000001</v>
      </c>
      <c r="AF216" s="9">
        <v>14.542</v>
      </c>
      <c r="AG216" s="9">
        <v>2.3E-2</v>
      </c>
      <c r="AH216" s="9">
        <v>9.7000000000000003E-2</v>
      </c>
      <c r="AI216" s="9">
        <v>6.7000000000000004E-2</v>
      </c>
      <c r="AJ216" s="9">
        <v>0</v>
      </c>
      <c r="AK216" s="9">
        <v>0.25800000000000001</v>
      </c>
      <c r="AL216" s="9">
        <v>0</v>
      </c>
      <c r="AM216" s="9">
        <v>2E-3</v>
      </c>
      <c r="AN216" s="9">
        <v>14.052</v>
      </c>
      <c r="AO216" s="9">
        <v>6.3E-2</v>
      </c>
      <c r="AP216" s="9">
        <v>9.7000000000000003E-2</v>
      </c>
      <c r="AQ216" s="9">
        <v>0</v>
      </c>
      <c r="AR216" s="9">
        <v>0</v>
      </c>
      <c r="AS216" s="9">
        <v>0</v>
      </c>
      <c r="AT216" s="9" t="s">
        <v>243</v>
      </c>
      <c r="AU216" s="9" t="s">
        <v>243</v>
      </c>
      <c r="AV216" s="9" t="b">
        <v>0</v>
      </c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</row>
    <row r="217" spans="1:102" s="32" customFormat="1" ht="16" customHeight="1" x14ac:dyDescent="0.2">
      <c r="A217" s="30" t="s">
        <v>44</v>
      </c>
      <c r="B217" s="29" t="s">
        <v>200</v>
      </c>
      <c r="C217" s="29" t="s">
        <v>186</v>
      </c>
      <c r="D217" s="29" t="s">
        <v>186</v>
      </c>
      <c r="E217" s="29" t="s">
        <v>187</v>
      </c>
      <c r="F217" s="29" t="s">
        <v>176</v>
      </c>
      <c r="G217" s="29">
        <v>0.5</v>
      </c>
      <c r="H217" s="29">
        <v>100</v>
      </c>
      <c r="I217" s="29" t="s">
        <v>188</v>
      </c>
      <c r="J217" s="29" t="s">
        <v>188</v>
      </c>
      <c r="K217" s="29" t="s">
        <v>179</v>
      </c>
      <c r="L217" s="29" t="s">
        <v>180</v>
      </c>
      <c r="M217" s="29">
        <v>12808</v>
      </c>
      <c r="N217" s="29">
        <v>0.70729684908789403</v>
      </c>
      <c r="O217" s="29">
        <v>0.422695738354807</v>
      </c>
      <c r="P217" s="29">
        <v>0.52915632754342401</v>
      </c>
      <c r="Q217" s="29">
        <v>152.31</v>
      </c>
      <c r="R217" s="29">
        <v>6553</v>
      </c>
      <c r="S217" s="29">
        <v>65536</v>
      </c>
      <c r="T217" s="29">
        <v>15062016</v>
      </c>
      <c r="U217" s="29">
        <v>131072</v>
      </c>
      <c r="V217" s="29">
        <v>15193088</v>
      </c>
      <c r="W217" s="29">
        <v>0</v>
      </c>
      <c r="X217" s="29">
        <v>0</v>
      </c>
      <c r="Y217" s="29">
        <v>0</v>
      </c>
      <c r="Z217" s="29">
        <v>0</v>
      </c>
      <c r="AA217" s="29">
        <v>65280</v>
      </c>
      <c r="AB217" s="29">
        <v>65280</v>
      </c>
      <c r="AC217" s="29">
        <v>0</v>
      </c>
      <c r="AD217" s="29">
        <v>0</v>
      </c>
      <c r="AE217" s="29">
        <v>0.13800000000000001</v>
      </c>
      <c r="AF217" s="29">
        <v>152.05199999999999</v>
      </c>
      <c r="AG217" s="29">
        <v>2.3E-2</v>
      </c>
      <c r="AH217" s="29">
        <v>9.7000000000000003E-2</v>
      </c>
      <c r="AI217" s="29">
        <v>6.7000000000000004E-2</v>
      </c>
      <c r="AJ217" s="29">
        <v>0</v>
      </c>
      <c r="AK217" s="29">
        <v>0.25800000000000001</v>
      </c>
      <c r="AL217" s="29">
        <v>0</v>
      </c>
      <c r="AM217" s="29">
        <v>2E-3</v>
      </c>
      <c r="AN217" s="29">
        <v>14.052</v>
      </c>
      <c r="AO217" s="29">
        <v>6.3E-2</v>
      </c>
      <c r="AP217" s="29">
        <v>9.7000000000000003E-2</v>
      </c>
      <c r="AQ217" s="29">
        <v>0</v>
      </c>
      <c r="AR217" s="29">
        <v>0</v>
      </c>
      <c r="AS217" s="29">
        <v>0</v>
      </c>
      <c r="AT217" s="29" t="s">
        <v>243</v>
      </c>
      <c r="AU217" s="29" t="s">
        <v>243</v>
      </c>
      <c r="AV217" s="29" t="b">
        <v>0</v>
      </c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7"/>
  <sheetViews>
    <sheetView zoomScale="141" workbookViewId="0">
      <selection activeCell="A7" sqref="A7:XFD7"/>
    </sheetView>
  </sheetViews>
  <sheetFormatPr baseColWidth="10" defaultColWidth="8.83203125" defaultRowHeight="15" x14ac:dyDescent="0.2"/>
  <cols>
    <col min="1" max="1" width="12.6640625" customWidth="1"/>
    <col min="2" max="2" width="12.83203125" customWidth="1"/>
    <col min="3" max="3" width="16.6640625" customWidth="1"/>
    <col min="4" max="5" width="20.5" customWidth="1"/>
    <col min="6" max="6" width="17" customWidth="1"/>
    <col min="7" max="7" width="19.5" customWidth="1"/>
    <col min="8" max="8" width="23.33203125" customWidth="1"/>
    <col min="9" max="10" width="17.83203125" customWidth="1"/>
    <col min="11" max="11" width="22.83203125" customWidth="1"/>
    <col min="12" max="13" width="20.33203125" customWidth="1"/>
    <col min="14" max="14" width="17.33203125" customWidth="1"/>
    <col min="15" max="15" width="17.1640625" customWidth="1"/>
    <col min="16" max="16" width="21.1640625" customWidth="1"/>
    <col min="17" max="17" width="24.5" customWidth="1"/>
    <col min="18" max="18" width="19" customWidth="1"/>
    <col min="19" max="19" width="22.83203125" customWidth="1"/>
    <col min="20" max="20" width="15.33203125" customWidth="1"/>
    <col min="21" max="21" width="27.6640625" customWidth="1"/>
    <col min="22" max="22" width="14" customWidth="1"/>
    <col min="23" max="23" width="16.5" customWidth="1"/>
  </cols>
  <sheetData>
    <row r="1" spans="1:23" x14ac:dyDescent="0.2">
      <c r="A1" t="s">
        <v>0</v>
      </c>
      <c r="B1" t="s">
        <v>409</v>
      </c>
      <c r="C1" t="s">
        <v>410</v>
      </c>
      <c r="D1" s="6" t="s">
        <v>411</v>
      </c>
      <c r="E1" s="6" t="s">
        <v>412</v>
      </c>
      <c r="F1" t="s">
        <v>413</v>
      </c>
      <c r="G1" t="s">
        <v>414</v>
      </c>
      <c r="H1" t="s">
        <v>415</v>
      </c>
      <c r="I1" t="s">
        <v>416</v>
      </c>
      <c r="J1" s="4" t="s">
        <v>417</v>
      </c>
      <c r="K1" t="s">
        <v>418</v>
      </c>
      <c r="L1" s="6" t="s">
        <v>419</v>
      </c>
      <c r="M1" s="3" t="s">
        <v>420</v>
      </c>
      <c r="N1" t="s">
        <v>421</v>
      </c>
      <c r="O1" t="s">
        <v>422</v>
      </c>
      <c r="P1" t="s">
        <v>423</v>
      </c>
      <c r="Q1" t="s">
        <v>424</v>
      </c>
      <c r="R1" t="s">
        <v>425</v>
      </c>
      <c r="S1" t="s">
        <v>426</v>
      </c>
      <c r="T1" t="s">
        <v>427</v>
      </c>
      <c r="U1" t="s">
        <v>428</v>
      </c>
      <c r="V1" t="s">
        <v>0</v>
      </c>
      <c r="W1" t="s">
        <v>409</v>
      </c>
    </row>
    <row r="2" spans="1:23" x14ac:dyDescent="0.2">
      <c r="A2" t="s">
        <v>40</v>
      </c>
      <c r="B2">
        <v>5</v>
      </c>
      <c r="C2">
        <v>0.96</v>
      </c>
      <c r="D2" s="6">
        <v>35.1</v>
      </c>
      <c r="E2" s="6">
        <f t="shared" ref="E2:E17" si="0">D2-L2</f>
        <v>8.2200000000000024</v>
      </c>
      <c r="F2">
        <v>95</v>
      </c>
      <c r="G2">
        <v>0.92452830188679258</v>
      </c>
      <c r="H2">
        <v>27.21</v>
      </c>
      <c r="I2">
        <v>95</v>
      </c>
      <c r="J2" s="4">
        <f t="shared" ref="J2:J17" si="1">(L2-P2)/D2</f>
        <v>0.10683760683760683</v>
      </c>
      <c r="K2">
        <v>0.94399999999999995</v>
      </c>
      <c r="L2" s="6">
        <v>26.88</v>
      </c>
      <c r="M2" s="3">
        <f t="shared" ref="M2:M17" si="2">(H2-P2)/D2</f>
        <v>0.11623931623931628</v>
      </c>
      <c r="N2">
        <v>95</v>
      </c>
      <c r="O2">
        <v>0.92959999999999998</v>
      </c>
      <c r="P2">
        <v>23.13</v>
      </c>
      <c r="Q2">
        <v>95</v>
      </c>
      <c r="R2">
        <v>0.93793103448275905</v>
      </c>
      <c r="S2">
        <v>24.13</v>
      </c>
      <c r="T2">
        <v>0.94720000000000004</v>
      </c>
      <c r="U2">
        <v>26.24</v>
      </c>
      <c r="V2" t="s">
        <v>40</v>
      </c>
      <c r="W2">
        <v>15</v>
      </c>
    </row>
    <row r="3" spans="1:23" x14ac:dyDescent="0.2">
      <c r="A3" t="s">
        <v>41</v>
      </c>
      <c r="B3">
        <v>8</v>
      </c>
      <c r="C3">
        <v>0.42622937</v>
      </c>
      <c r="D3" s="6">
        <v>287.3</v>
      </c>
      <c r="E3" s="6">
        <f t="shared" si="0"/>
        <v>29.980000000000018</v>
      </c>
      <c r="F3">
        <v>491</v>
      </c>
      <c r="G3">
        <v>0.33758389300000002</v>
      </c>
      <c r="H3">
        <v>258.86</v>
      </c>
      <c r="I3">
        <v>491</v>
      </c>
      <c r="J3" s="4">
        <f t="shared" si="1"/>
        <v>5.7500870170553366E-2</v>
      </c>
      <c r="K3">
        <v>0.38622937499999999</v>
      </c>
      <c r="L3" s="6">
        <v>257.32</v>
      </c>
      <c r="M3" s="3">
        <f t="shared" si="2"/>
        <v>6.2861120779672819E-2</v>
      </c>
      <c r="N3">
        <v>491</v>
      </c>
      <c r="O3">
        <v>0.333274864</v>
      </c>
      <c r="P3">
        <v>240.8</v>
      </c>
      <c r="Q3">
        <v>491</v>
      </c>
      <c r="R3">
        <v>0.35699999999999998</v>
      </c>
      <c r="S3">
        <v>245.9</v>
      </c>
      <c r="T3">
        <v>0.38911564599999998</v>
      </c>
      <c r="U3">
        <v>285.89999999999998</v>
      </c>
      <c r="V3" t="s">
        <v>41</v>
      </c>
      <c r="W3">
        <v>5</v>
      </c>
    </row>
    <row r="4" spans="1:23" x14ac:dyDescent="0.2">
      <c r="A4" t="s">
        <v>42</v>
      </c>
      <c r="B4">
        <v>10</v>
      </c>
      <c r="C4">
        <v>0.22</v>
      </c>
      <c r="D4" s="6">
        <v>539.52690000000007</v>
      </c>
      <c r="E4" s="6">
        <f t="shared" si="0"/>
        <v>153.20579999999995</v>
      </c>
      <c r="F4">
        <v>188</v>
      </c>
      <c r="G4">
        <v>2.3529411764705799E-2</v>
      </c>
      <c r="H4">
        <v>472.6601</v>
      </c>
      <c r="I4">
        <v>188</v>
      </c>
      <c r="J4" s="4">
        <f t="shared" si="1"/>
        <v>0.12393598910452865</v>
      </c>
      <c r="K4">
        <v>0.21626151012891301</v>
      </c>
      <c r="L4" s="6">
        <v>386.32110000000011</v>
      </c>
      <c r="M4" s="3">
        <f t="shared" si="2"/>
        <v>0.28396322778345251</v>
      </c>
      <c r="N4">
        <v>188</v>
      </c>
      <c r="O4">
        <v>0.2095914742451154</v>
      </c>
      <c r="P4">
        <v>319.45429999999999</v>
      </c>
      <c r="Q4">
        <v>188</v>
      </c>
      <c r="R4">
        <v>0.127</v>
      </c>
      <c r="S4">
        <v>321.5</v>
      </c>
      <c r="T4">
        <v>0.188405797101449</v>
      </c>
      <c r="U4">
        <v>391.11</v>
      </c>
      <c r="V4" t="s">
        <v>42</v>
      </c>
      <c r="W4">
        <v>10</v>
      </c>
    </row>
    <row r="5" spans="1:23" x14ac:dyDescent="0.2">
      <c r="A5" t="s">
        <v>39</v>
      </c>
      <c r="B5">
        <v>10</v>
      </c>
      <c r="C5">
        <v>0.85709999999999997</v>
      </c>
      <c r="D5" s="6">
        <v>200.64</v>
      </c>
      <c r="E5" s="6">
        <f t="shared" si="0"/>
        <v>39.839999999999975</v>
      </c>
      <c r="F5">
        <v>25</v>
      </c>
      <c r="G5">
        <v>0.1538461538461538</v>
      </c>
      <c r="H5">
        <v>149.91999999999999</v>
      </c>
      <c r="I5">
        <v>25</v>
      </c>
      <c r="J5" s="4">
        <f t="shared" si="1"/>
        <v>0.18819776714513561</v>
      </c>
      <c r="K5">
        <v>0.66600000000000004</v>
      </c>
      <c r="L5" s="6">
        <v>160.80000000000001</v>
      </c>
      <c r="M5" s="3">
        <f t="shared" si="2"/>
        <v>0.13397129186602863</v>
      </c>
      <c r="N5">
        <v>25</v>
      </c>
      <c r="O5">
        <v>0</v>
      </c>
      <c r="P5">
        <v>123.04</v>
      </c>
      <c r="Q5">
        <v>25</v>
      </c>
      <c r="R5">
        <v>0.625</v>
      </c>
      <c r="S5">
        <v>122.6</v>
      </c>
      <c r="T5">
        <v>0.69230769230769196</v>
      </c>
      <c r="U5">
        <v>145.69999999999999</v>
      </c>
      <c r="V5" t="s">
        <v>39</v>
      </c>
      <c r="W5">
        <v>10</v>
      </c>
    </row>
    <row r="6" spans="1:23" x14ac:dyDescent="0.2">
      <c r="A6" t="s">
        <v>35</v>
      </c>
      <c r="B6">
        <v>10</v>
      </c>
      <c r="C6">
        <v>0.354343607</v>
      </c>
      <c r="D6" s="6">
        <v>15.87</v>
      </c>
      <c r="E6" s="6">
        <f t="shared" si="0"/>
        <v>2.7699999999999996</v>
      </c>
      <c r="G6">
        <v>0.227678571</v>
      </c>
      <c r="H6">
        <v>13.07</v>
      </c>
      <c r="J6" s="4">
        <f t="shared" si="1"/>
        <v>0.55765595463137996</v>
      </c>
      <c r="K6">
        <v>0.32350678700000002</v>
      </c>
      <c r="L6" s="6">
        <v>13.1</v>
      </c>
      <c r="M6" s="3">
        <f t="shared" si="2"/>
        <v>0.55576559546313808</v>
      </c>
      <c r="O6">
        <v>0.20952381</v>
      </c>
      <c r="P6">
        <v>4.25</v>
      </c>
      <c r="R6">
        <v>0.21299999999999999</v>
      </c>
      <c r="S6">
        <v>7.5</v>
      </c>
      <c r="T6">
        <v>0.227678571</v>
      </c>
      <c r="U6">
        <v>9.2200000000000006</v>
      </c>
      <c r="V6" t="s">
        <v>35</v>
      </c>
    </row>
    <row r="7" spans="1:23" x14ac:dyDescent="0.2">
      <c r="A7" t="s">
        <v>36</v>
      </c>
      <c r="B7">
        <v>10</v>
      </c>
      <c r="C7">
        <v>0.88400000000000001</v>
      </c>
      <c r="D7" s="6">
        <v>281</v>
      </c>
      <c r="E7" s="6">
        <f t="shared" si="0"/>
        <v>115.08000000000001</v>
      </c>
      <c r="F7">
        <v>420</v>
      </c>
      <c r="G7">
        <v>0.2752293577981651</v>
      </c>
      <c r="H7">
        <v>244</v>
      </c>
      <c r="I7">
        <v>420</v>
      </c>
      <c r="J7" s="4">
        <f t="shared" si="1"/>
        <v>0.25181494661921705</v>
      </c>
      <c r="K7">
        <v>0.24533333333333329</v>
      </c>
      <c r="L7" s="6">
        <v>165.92</v>
      </c>
      <c r="M7" s="3">
        <f t="shared" si="2"/>
        <v>0.52967971530249114</v>
      </c>
      <c r="N7">
        <v>420</v>
      </c>
      <c r="O7">
        <v>0.1674641148325359</v>
      </c>
      <c r="P7">
        <v>95.16</v>
      </c>
      <c r="Q7">
        <v>420</v>
      </c>
      <c r="R7">
        <v>8.5099999999999995E-2</v>
      </c>
      <c r="S7">
        <v>94.87</v>
      </c>
      <c r="T7">
        <v>9.0909090909090898E-2</v>
      </c>
      <c r="U7">
        <v>132.1</v>
      </c>
      <c r="V7" t="s">
        <v>36</v>
      </c>
      <c r="W7">
        <v>25</v>
      </c>
    </row>
    <row r="8" spans="1:23" x14ac:dyDescent="0.2">
      <c r="A8" t="s">
        <v>37</v>
      </c>
      <c r="B8">
        <v>5</v>
      </c>
      <c r="C8">
        <v>0.66666666666666652</v>
      </c>
      <c r="D8" s="6">
        <v>492.9</v>
      </c>
      <c r="E8" s="6">
        <f t="shared" si="0"/>
        <v>73.649999999999977</v>
      </c>
      <c r="F8">
        <v>50</v>
      </c>
      <c r="G8">
        <v>1.7094017094016999E-2</v>
      </c>
      <c r="H8">
        <v>477.33</v>
      </c>
      <c r="I8">
        <v>50</v>
      </c>
      <c r="J8" s="4">
        <f t="shared" si="1"/>
        <v>3.1588557516737663E-2</v>
      </c>
      <c r="K8">
        <v>0.1143</v>
      </c>
      <c r="L8" s="6">
        <v>419.25</v>
      </c>
      <c r="M8" s="3">
        <f t="shared" si="2"/>
        <v>0.14942178940961651</v>
      </c>
      <c r="N8">
        <v>50</v>
      </c>
      <c r="O8">
        <v>1.7094017094016999E-2</v>
      </c>
      <c r="P8">
        <v>403.68</v>
      </c>
      <c r="Q8">
        <v>50</v>
      </c>
      <c r="R8">
        <v>5.4699999999999999E-2</v>
      </c>
      <c r="S8">
        <v>404.23</v>
      </c>
      <c r="T8">
        <v>2.1052631578947399E-2</v>
      </c>
      <c r="U8">
        <v>548.79999999999995</v>
      </c>
      <c r="V8" t="s">
        <v>37</v>
      </c>
      <c r="W8">
        <v>5</v>
      </c>
    </row>
    <row r="9" spans="1:23" x14ac:dyDescent="0.2">
      <c r="A9" t="s">
        <v>38</v>
      </c>
      <c r="B9">
        <v>5</v>
      </c>
      <c r="C9">
        <v>0.36399999999999999</v>
      </c>
      <c r="D9" s="6">
        <v>347.9</v>
      </c>
      <c r="E9" s="6">
        <f t="shared" si="0"/>
        <v>67.174999999999955</v>
      </c>
      <c r="F9">
        <v>16</v>
      </c>
      <c r="G9">
        <v>8.6956521739130405E-2</v>
      </c>
      <c r="H9">
        <v>272.16000000000003</v>
      </c>
      <c r="I9">
        <v>16</v>
      </c>
      <c r="J9" s="4">
        <f t="shared" si="1"/>
        <v>0.21708824374820362</v>
      </c>
      <c r="K9">
        <v>0.13819999999999999</v>
      </c>
      <c r="L9" s="6">
        <v>280.72500000000002</v>
      </c>
      <c r="M9" s="3">
        <f t="shared" si="2"/>
        <v>0.19246910031618292</v>
      </c>
      <c r="N9">
        <v>16</v>
      </c>
      <c r="O9">
        <v>8.6956521739130405E-2</v>
      </c>
      <c r="P9">
        <v>205.2</v>
      </c>
      <c r="Q9">
        <v>16</v>
      </c>
      <c r="R9">
        <v>0.11609999999999999</v>
      </c>
      <c r="S9">
        <v>206.3</v>
      </c>
      <c r="T9">
        <v>7.0796460176991094E-2</v>
      </c>
      <c r="U9">
        <v>314</v>
      </c>
      <c r="V9" t="s">
        <v>38</v>
      </c>
      <c r="W9">
        <v>5</v>
      </c>
    </row>
    <row r="10" spans="1:23" x14ac:dyDescent="0.2">
      <c r="A10" t="s">
        <v>33</v>
      </c>
      <c r="B10">
        <v>3</v>
      </c>
      <c r="C10">
        <v>1</v>
      </c>
      <c r="D10" s="6">
        <v>5.94</v>
      </c>
      <c r="E10" s="6">
        <f t="shared" si="0"/>
        <v>4.53</v>
      </c>
      <c r="F10">
        <v>26</v>
      </c>
      <c r="G10">
        <v>0</v>
      </c>
      <c r="H10">
        <v>4.99</v>
      </c>
      <c r="I10">
        <v>26</v>
      </c>
      <c r="J10" s="4">
        <f t="shared" si="1"/>
        <v>0.15993265993265993</v>
      </c>
      <c r="K10">
        <v>0.75</v>
      </c>
      <c r="L10" s="6">
        <v>1.41</v>
      </c>
      <c r="M10" s="3">
        <f t="shared" si="2"/>
        <v>0.76262626262626265</v>
      </c>
      <c r="N10">
        <v>26</v>
      </c>
      <c r="O10">
        <v>0</v>
      </c>
      <c r="P10">
        <v>0.46</v>
      </c>
      <c r="Q10">
        <v>26</v>
      </c>
      <c r="R10">
        <v>1.23E-2</v>
      </c>
      <c r="S10">
        <v>0.51</v>
      </c>
      <c r="T10">
        <v>1.23304562268804E-2</v>
      </c>
      <c r="U10">
        <v>2.11</v>
      </c>
      <c r="V10" t="s">
        <v>33</v>
      </c>
      <c r="W10">
        <v>0.25</v>
      </c>
    </row>
    <row r="11" spans="1:23" x14ac:dyDescent="0.2">
      <c r="A11" t="s">
        <v>34</v>
      </c>
      <c r="B11">
        <v>5</v>
      </c>
      <c r="C11">
        <v>0.83330000000000004</v>
      </c>
      <c r="D11" s="6">
        <v>33.299999999999997</v>
      </c>
      <c r="E11" s="6">
        <f t="shared" si="0"/>
        <v>14.669999999999998</v>
      </c>
      <c r="F11">
        <v>576</v>
      </c>
      <c r="G11">
        <v>0</v>
      </c>
      <c r="H11">
        <v>25.82</v>
      </c>
      <c r="I11">
        <v>576</v>
      </c>
      <c r="J11" s="4">
        <f t="shared" si="1"/>
        <v>0.2246246246246246</v>
      </c>
      <c r="K11">
        <v>0.21429999999999999</v>
      </c>
      <c r="L11" s="6">
        <v>18.63</v>
      </c>
      <c r="M11" s="3">
        <f t="shared" si="2"/>
        <v>0.44054054054054059</v>
      </c>
      <c r="N11">
        <v>576</v>
      </c>
      <c r="O11">
        <v>0</v>
      </c>
      <c r="P11">
        <v>11.15</v>
      </c>
      <c r="Q11">
        <v>576</v>
      </c>
      <c r="R11">
        <v>2E-3</v>
      </c>
      <c r="S11">
        <v>11.32</v>
      </c>
      <c r="T11">
        <v>2.5497195308516098E-3</v>
      </c>
      <c r="U11">
        <v>51.89</v>
      </c>
      <c r="V11" t="s">
        <v>34</v>
      </c>
      <c r="W11">
        <v>0.25</v>
      </c>
    </row>
    <row r="12" spans="1:23" x14ac:dyDescent="0.2">
      <c r="A12" t="s">
        <v>43</v>
      </c>
      <c r="B12">
        <v>10</v>
      </c>
      <c r="C12">
        <v>0.77551020408163263</v>
      </c>
      <c r="D12" s="6">
        <v>4.34</v>
      </c>
      <c r="E12" s="6">
        <f t="shared" si="0"/>
        <v>1.1499999999999999</v>
      </c>
      <c r="F12">
        <v>75</v>
      </c>
      <c r="G12">
        <v>6.1224489795918297E-2</v>
      </c>
      <c r="H12">
        <v>3.4</v>
      </c>
      <c r="I12">
        <v>75</v>
      </c>
      <c r="J12" s="4">
        <f t="shared" si="1"/>
        <v>0.37096774193548387</v>
      </c>
      <c r="K12">
        <v>0.73469387799999997</v>
      </c>
      <c r="L12" s="6">
        <v>3.19</v>
      </c>
      <c r="M12" s="3">
        <f t="shared" si="2"/>
        <v>0.41935483870967738</v>
      </c>
      <c r="O12">
        <v>0</v>
      </c>
      <c r="P12">
        <v>1.58</v>
      </c>
      <c r="R12">
        <v>0.2</v>
      </c>
      <c r="S12">
        <v>1.69</v>
      </c>
      <c r="T12">
        <v>0.2</v>
      </c>
      <c r="U12">
        <v>1.26</v>
      </c>
      <c r="V12" t="s">
        <v>43</v>
      </c>
      <c r="W12">
        <v>10</v>
      </c>
    </row>
    <row r="13" spans="1:23" x14ac:dyDescent="0.2">
      <c r="A13" t="s">
        <v>45</v>
      </c>
      <c r="B13">
        <v>8</v>
      </c>
      <c r="C13">
        <v>0.8</v>
      </c>
      <c r="D13" s="6">
        <v>0.47</v>
      </c>
      <c r="E13" s="6">
        <f t="shared" si="0"/>
        <v>3.999999999999998E-2</v>
      </c>
      <c r="F13">
        <v>53</v>
      </c>
      <c r="G13">
        <v>0.66666666666666696</v>
      </c>
      <c r="H13">
        <v>0.25</v>
      </c>
      <c r="I13">
        <v>53</v>
      </c>
      <c r="J13" s="4">
        <f t="shared" si="1"/>
        <v>0.44680851063829791</v>
      </c>
      <c r="K13">
        <v>0.19047619047619099</v>
      </c>
      <c r="L13" s="6">
        <v>0.43</v>
      </c>
      <c r="M13" s="3">
        <f t="shared" si="2"/>
        <v>6.3829787234042548E-2</v>
      </c>
      <c r="N13">
        <v>53</v>
      </c>
      <c r="O13">
        <v>0.11111111111111099</v>
      </c>
      <c r="P13">
        <v>0.22</v>
      </c>
      <c r="Q13">
        <v>53</v>
      </c>
      <c r="R13">
        <v>0.125</v>
      </c>
      <c r="S13">
        <v>0.34</v>
      </c>
      <c r="T13">
        <v>0.125</v>
      </c>
      <c r="U13">
        <v>0.76</v>
      </c>
      <c r="V13" t="s">
        <v>45</v>
      </c>
      <c r="W13">
        <v>20</v>
      </c>
    </row>
    <row r="14" spans="1:23" x14ac:dyDescent="0.2">
      <c r="A14" t="s">
        <v>46</v>
      </c>
      <c r="B14">
        <v>10</v>
      </c>
      <c r="C14">
        <v>0.63</v>
      </c>
      <c r="D14" s="6">
        <v>0.98</v>
      </c>
      <c r="E14" s="6">
        <f t="shared" si="0"/>
        <v>4.9999999999999933E-2</v>
      </c>
      <c r="F14">
        <v>142</v>
      </c>
      <c r="G14">
        <v>0</v>
      </c>
      <c r="H14">
        <v>0.32</v>
      </c>
      <c r="I14">
        <v>142</v>
      </c>
      <c r="J14" s="4">
        <f t="shared" si="1"/>
        <v>0.65306122448979609</v>
      </c>
      <c r="K14">
        <v>5.34351145038168E-2</v>
      </c>
      <c r="L14" s="6">
        <v>0.93</v>
      </c>
      <c r="M14" s="3">
        <f t="shared" si="2"/>
        <v>3.0612244897959211E-2</v>
      </c>
      <c r="N14">
        <v>142</v>
      </c>
      <c r="O14">
        <v>0</v>
      </c>
      <c r="P14">
        <v>0.28999999999999998</v>
      </c>
      <c r="Q14">
        <v>142</v>
      </c>
      <c r="R14">
        <v>3.5000000000000001E-3</v>
      </c>
      <c r="S14">
        <v>0.35</v>
      </c>
      <c r="T14">
        <v>4.2944785276073601E-2</v>
      </c>
      <c r="U14">
        <v>0.88</v>
      </c>
      <c r="V14" t="s">
        <v>46</v>
      </c>
      <c r="W14">
        <v>10</v>
      </c>
    </row>
    <row r="15" spans="1:23" x14ac:dyDescent="0.2">
      <c r="A15" t="s">
        <v>47</v>
      </c>
      <c r="B15">
        <v>10</v>
      </c>
      <c r="C15">
        <v>1</v>
      </c>
      <c r="D15" s="6">
        <v>0.49</v>
      </c>
      <c r="E15" s="6">
        <f t="shared" si="0"/>
        <v>0.15999999999999998</v>
      </c>
      <c r="F15">
        <v>27</v>
      </c>
      <c r="G15">
        <v>0</v>
      </c>
      <c r="H15">
        <v>0.21</v>
      </c>
      <c r="I15">
        <v>27</v>
      </c>
      <c r="J15" s="4">
        <f t="shared" si="1"/>
        <v>0.3061224489795919</v>
      </c>
      <c r="K15">
        <v>9.6774193548387094E-2</v>
      </c>
      <c r="L15" s="6">
        <v>0.33</v>
      </c>
      <c r="M15" s="3">
        <f t="shared" si="2"/>
        <v>6.1224489795918366E-2</v>
      </c>
      <c r="N15">
        <v>27</v>
      </c>
      <c r="O15">
        <v>0</v>
      </c>
      <c r="P15">
        <v>0.18</v>
      </c>
      <c r="Q15">
        <v>27</v>
      </c>
      <c r="R15">
        <v>7.7999999999999996E-3</v>
      </c>
      <c r="S15">
        <v>0.21</v>
      </c>
      <c r="T15">
        <v>7.9470198675496706E-2</v>
      </c>
      <c r="U15">
        <v>0.59</v>
      </c>
      <c r="V15" t="s">
        <v>47</v>
      </c>
      <c r="W15">
        <v>10</v>
      </c>
    </row>
    <row r="16" spans="1:23" x14ac:dyDescent="0.2">
      <c r="A16" t="s">
        <v>48</v>
      </c>
      <c r="B16">
        <v>5</v>
      </c>
      <c r="C16">
        <v>0.67200000000000004</v>
      </c>
      <c r="D16" s="6">
        <v>1.06</v>
      </c>
      <c r="E16" s="6">
        <f t="shared" si="0"/>
        <v>0.46000000000000008</v>
      </c>
      <c r="F16">
        <v>71</v>
      </c>
      <c r="G16">
        <v>0</v>
      </c>
      <c r="H16">
        <v>0.3</v>
      </c>
      <c r="I16">
        <v>71</v>
      </c>
      <c r="J16" s="4">
        <f t="shared" si="1"/>
        <v>0.37735849056603771</v>
      </c>
      <c r="K16">
        <v>4.0462427745664699E-2</v>
      </c>
      <c r="L16" s="6">
        <v>0.6</v>
      </c>
      <c r="M16" s="3">
        <f t="shared" si="2"/>
        <v>9.4339622641509413E-2</v>
      </c>
      <c r="N16">
        <v>71</v>
      </c>
      <c r="O16">
        <v>0</v>
      </c>
      <c r="P16">
        <v>0.2</v>
      </c>
      <c r="Q16">
        <v>71</v>
      </c>
      <c r="R16">
        <v>2.5000000000000001E-3</v>
      </c>
      <c r="S16">
        <v>0.3</v>
      </c>
      <c r="T16">
        <v>2.5586353944562899E-2</v>
      </c>
      <c r="U16">
        <v>0.84</v>
      </c>
      <c r="V16" t="s">
        <v>48</v>
      </c>
      <c r="W16">
        <v>5</v>
      </c>
    </row>
    <row r="17" spans="1:21" x14ac:dyDescent="0.2">
      <c r="A17" t="s">
        <v>44</v>
      </c>
      <c r="B17">
        <v>6</v>
      </c>
      <c r="C17">
        <v>0.30499999999999999</v>
      </c>
      <c r="D17" s="6">
        <v>12.4</v>
      </c>
      <c r="E17" s="6">
        <f t="shared" si="0"/>
        <v>1.1799999999999997</v>
      </c>
      <c r="G17">
        <v>0.4</v>
      </c>
      <c r="H17">
        <v>9.6999999999999993</v>
      </c>
      <c r="J17" s="4">
        <f t="shared" si="1"/>
        <v>0.13387096774193549</v>
      </c>
      <c r="K17">
        <v>0.37</v>
      </c>
      <c r="L17" s="6">
        <v>11.22</v>
      </c>
      <c r="M17" s="3">
        <f t="shared" si="2"/>
        <v>1.1290322580645063E-2</v>
      </c>
      <c r="O17">
        <v>0.39</v>
      </c>
      <c r="P17">
        <v>9.56</v>
      </c>
      <c r="R17">
        <v>0.36</v>
      </c>
      <c r="S17">
        <v>11.21</v>
      </c>
      <c r="T17">
        <v>0.14000000000000001</v>
      </c>
      <c r="U17">
        <v>58.3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6"/>
  <sheetViews>
    <sheetView topLeftCell="A40" zoomScale="150" workbookViewId="0">
      <selection activeCell="E66" sqref="E66"/>
    </sheetView>
  </sheetViews>
  <sheetFormatPr baseColWidth="10" defaultColWidth="8.83203125" defaultRowHeight="15" x14ac:dyDescent="0.2"/>
  <cols>
    <col min="1" max="1" width="8.83203125" style="35" customWidth="1"/>
    <col min="2" max="2" width="13.33203125" customWidth="1"/>
    <col min="3" max="3" width="12.6640625" customWidth="1"/>
    <col min="12" max="12" width="13.1640625" style="35" customWidth="1"/>
    <col min="15" max="15" width="8.83203125" style="35" customWidth="1"/>
  </cols>
  <sheetData>
    <row r="1" spans="1:15" x14ac:dyDescent="0.2">
      <c r="A1" s="35" t="s">
        <v>0</v>
      </c>
      <c r="B1" t="s">
        <v>429</v>
      </c>
      <c r="C1" t="s">
        <v>52</v>
      </c>
      <c r="D1" t="s">
        <v>430</v>
      </c>
      <c r="E1" t="s">
        <v>77</v>
      </c>
      <c r="F1" t="s">
        <v>431</v>
      </c>
      <c r="G1" t="s">
        <v>432</v>
      </c>
      <c r="H1" t="s">
        <v>433</v>
      </c>
      <c r="I1" t="s">
        <v>434</v>
      </c>
      <c r="J1" t="s">
        <v>435</v>
      </c>
      <c r="K1" t="s">
        <v>436</v>
      </c>
      <c r="L1" s="35" t="s">
        <v>437</v>
      </c>
      <c r="M1" t="s">
        <v>83</v>
      </c>
      <c r="N1" t="s">
        <v>84</v>
      </c>
      <c r="O1" s="35" t="s">
        <v>85</v>
      </c>
    </row>
    <row r="2" spans="1:15" x14ac:dyDescent="0.2">
      <c r="A2" s="35" t="s">
        <v>33</v>
      </c>
      <c r="B2" t="s">
        <v>438</v>
      </c>
      <c r="C2" t="s">
        <v>439</v>
      </c>
      <c r="D2">
        <v>10400</v>
      </c>
      <c r="E2">
        <v>1</v>
      </c>
      <c r="F2">
        <v>104</v>
      </c>
      <c r="G2">
        <v>0.9</v>
      </c>
      <c r="H2">
        <v>0.1</v>
      </c>
      <c r="I2">
        <v>2</v>
      </c>
      <c r="J2">
        <v>104</v>
      </c>
      <c r="K2">
        <v>0.01</v>
      </c>
      <c r="L2" s="35">
        <v>138.99</v>
      </c>
      <c r="M2">
        <v>0.5</v>
      </c>
      <c r="N2">
        <v>0.2</v>
      </c>
      <c r="O2" s="35">
        <v>0.28571428571428581</v>
      </c>
    </row>
    <row r="3" spans="1:15" x14ac:dyDescent="0.2">
      <c r="A3" s="35" t="s">
        <v>33</v>
      </c>
      <c r="B3" t="s">
        <v>438</v>
      </c>
      <c r="C3" t="s">
        <v>439</v>
      </c>
      <c r="D3">
        <v>10400</v>
      </c>
      <c r="E3">
        <v>3</v>
      </c>
      <c r="F3">
        <v>312</v>
      </c>
      <c r="G3">
        <v>0.9</v>
      </c>
      <c r="H3">
        <v>0.1</v>
      </c>
      <c r="I3">
        <v>4</v>
      </c>
      <c r="J3">
        <v>312</v>
      </c>
      <c r="K3">
        <v>0.03</v>
      </c>
      <c r="L3" s="35">
        <v>142.72</v>
      </c>
      <c r="M3">
        <v>0.25</v>
      </c>
      <c r="N3">
        <v>0.2</v>
      </c>
      <c r="O3" s="35">
        <v>0.22222222222222221</v>
      </c>
    </row>
    <row r="4" spans="1:15" x14ac:dyDescent="0.2">
      <c r="A4" s="35" t="s">
        <v>33</v>
      </c>
      <c r="B4" t="s">
        <v>438</v>
      </c>
      <c r="C4" t="s">
        <v>439</v>
      </c>
      <c r="D4">
        <v>10400</v>
      </c>
      <c r="E4">
        <v>5</v>
      </c>
      <c r="F4">
        <v>520</v>
      </c>
      <c r="G4">
        <v>0.9</v>
      </c>
      <c r="H4">
        <v>0.1</v>
      </c>
      <c r="I4">
        <v>4</v>
      </c>
      <c r="J4">
        <v>520</v>
      </c>
      <c r="K4">
        <v>0.05</v>
      </c>
      <c r="L4" s="35">
        <v>145.72999999999999</v>
      </c>
      <c r="M4">
        <v>0.25</v>
      </c>
      <c r="N4">
        <v>0.2</v>
      </c>
      <c r="O4" s="35">
        <v>0.22222222222222221</v>
      </c>
    </row>
    <row r="5" spans="1:15" x14ac:dyDescent="0.2">
      <c r="A5" s="35" t="s">
        <v>33</v>
      </c>
      <c r="B5" t="s">
        <v>438</v>
      </c>
      <c r="C5" t="s">
        <v>439</v>
      </c>
      <c r="D5">
        <v>10400</v>
      </c>
      <c r="E5">
        <v>7</v>
      </c>
      <c r="F5">
        <v>728</v>
      </c>
      <c r="G5">
        <v>0.9</v>
      </c>
      <c r="H5">
        <v>0.1</v>
      </c>
      <c r="I5">
        <v>4</v>
      </c>
      <c r="J5">
        <v>728</v>
      </c>
      <c r="K5">
        <v>7.0000000000000007E-2</v>
      </c>
      <c r="L5" s="35">
        <v>146.22</v>
      </c>
      <c r="M5">
        <v>0.25</v>
      </c>
      <c r="N5">
        <v>0.2</v>
      </c>
      <c r="O5" s="35">
        <v>0.22222222222222221</v>
      </c>
    </row>
    <row r="6" spans="1:15" x14ac:dyDescent="0.2">
      <c r="A6" s="35" t="s">
        <v>33</v>
      </c>
      <c r="B6" t="s">
        <v>438</v>
      </c>
      <c r="C6" t="s">
        <v>439</v>
      </c>
      <c r="D6">
        <v>10400</v>
      </c>
      <c r="E6">
        <v>9</v>
      </c>
      <c r="F6">
        <v>936</v>
      </c>
      <c r="G6">
        <v>0.9</v>
      </c>
      <c r="H6">
        <v>0.1</v>
      </c>
      <c r="I6">
        <v>4</v>
      </c>
      <c r="J6">
        <v>936</v>
      </c>
      <c r="K6">
        <v>0.09</v>
      </c>
      <c r="L6" s="35">
        <v>148.97</v>
      </c>
      <c r="M6">
        <v>0.25</v>
      </c>
      <c r="N6">
        <v>0.2</v>
      </c>
      <c r="O6" s="35">
        <v>0.22222222222222221</v>
      </c>
    </row>
    <row r="7" spans="1:15" x14ac:dyDescent="0.2">
      <c r="A7" s="35" t="s">
        <v>34</v>
      </c>
      <c r="B7" t="s">
        <v>438</v>
      </c>
      <c r="C7" t="s">
        <v>439</v>
      </c>
      <c r="D7">
        <v>27000</v>
      </c>
      <c r="E7">
        <v>1</v>
      </c>
      <c r="F7">
        <v>270</v>
      </c>
      <c r="G7">
        <v>0.9</v>
      </c>
      <c r="H7">
        <v>0.1</v>
      </c>
      <c r="I7">
        <v>7</v>
      </c>
      <c r="J7">
        <v>270</v>
      </c>
      <c r="K7">
        <v>0.01</v>
      </c>
      <c r="L7" s="35">
        <v>321.31</v>
      </c>
      <c r="M7">
        <v>0.5714285714285714</v>
      </c>
      <c r="N7">
        <v>0.8</v>
      </c>
      <c r="O7" s="35">
        <v>0.66666666666666663</v>
      </c>
    </row>
    <row r="8" spans="1:15" x14ac:dyDescent="0.2">
      <c r="A8" s="35" t="s">
        <v>34</v>
      </c>
      <c r="B8" t="s">
        <v>438</v>
      </c>
      <c r="C8" t="s">
        <v>439</v>
      </c>
      <c r="D8">
        <v>27000</v>
      </c>
      <c r="E8">
        <v>3</v>
      </c>
      <c r="F8">
        <v>810</v>
      </c>
      <c r="G8">
        <v>0.9</v>
      </c>
      <c r="H8">
        <v>0.1</v>
      </c>
      <c r="I8">
        <v>7</v>
      </c>
      <c r="J8">
        <v>810</v>
      </c>
      <c r="K8">
        <v>0.03</v>
      </c>
      <c r="L8" s="35">
        <v>327.71</v>
      </c>
      <c r="M8">
        <v>0.42857142857142849</v>
      </c>
      <c r="N8">
        <v>0.6</v>
      </c>
      <c r="O8" s="35">
        <v>0.5</v>
      </c>
    </row>
    <row r="9" spans="1:15" x14ac:dyDescent="0.2">
      <c r="A9" s="35" t="s">
        <v>34</v>
      </c>
      <c r="B9" t="s">
        <v>438</v>
      </c>
      <c r="C9" t="s">
        <v>439</v>
      </c>
      <c r="D9">
        <v>27000</v>
      </c>
      <c r="E9">
        <v>5</v>
      </c>
      <c r="F9">
        <v>1350</v>
      </c>
      <c r="G9">
        <v>0.9</v>
      </c>
      <c r="H9">
        <v>0.1</v>
      </c>
      <c r="I9">
        <v>8</v>
      </c>
      <c r="J9">
        <v>1350</v>
      </c>
      <c r="K9">
        <v>0.05</v>
      </c>
      <c r="L9" s="35">
        <v>340.31</v>
      </c>
      <c r="M9">
        <v>0.5</v>
      </c>
      <c r="N9">
        <v>0.8</v>
      </c>
      <c r="O9" s="35">
        <v>0.61538461538461542</v>
      </c>
    </row>
    <row r="10" spans="1:15" x14ac:dyDescent="0.2">
      <c r="A10" s="35" t="s">
        <v>34</v>
      </c>
      <c r="B10" t="s">
        <v>438</v>
      </c>
      <c r="C10" t="s">
        <v>439</v>
      </c>
      <c r="D10">
        <v>27000</v>
      </c>
      <c r="E10">
        <v>7</v>
      </c>
      <c r="F10">
        <v>1890</v>
      </c>
      <c r="G10">
        <v>0.9</v>
      </c>
      <c r="H10">
        <v>0.1</v>
      </c>
      <c r="I10">
        <v>7</v>
      </c>
      <c r="J10">
        <v>1890</v>
      </c>
      <c r="K10">
        <v>7.0000000000000007E-2</v>
      </c>
      <c r="L10" s="35">
        <v>352.72</v>
      </c>
      <c r="M10">
        <v>0.42857142857142849</v>
      </c>
      <c r="N10">
        <v>0.6</v>
      </c>
      <c r="O10" s="35">
        <v>0.5</v>
      </c>
    </row>
    <row r="11" spans="1:15" x14ac:dyDescent="0.2">
      <c r="A11" s="35" t="s">
        <v>34</v>
      </c>
      <c r="B11" t="s">
        <v>438</v>
      </c>
      <c r="C11" t="s">
        <v>439</v>
      </c>
      <c r="D11">
        <v>27000</v>
      </c>
      <c r="E11">
        <v>9</v>
      </c>
      <c r="F11">
        <v>2430</v>
      </c>
      <c r="G11">
        <v>0.9</v>
      </c>
      <c r="H11">
        <v>0.1</v>
      </c>
      <c r="I11">
        <v>7</v>
      </c>
      <c r="J11">
        <v>2430</v>
      </c>
      <c r="K11">
        <v>0.09</v>
      </c>
      <c r="L11" s="35">
        <v>515.48</v>
      </c>
      <c r="M11">
        <v>0.42857142857142849</v>
      </c>
      <c r="N11">
        <v>0.6</v>
      </c>
      <c r="O11" s="35">
        <v>0.5</v>
      </c>
    </row>
    <row r="12" spans="1:15" x14ac:dyDescent="0.2">
      <c r="A12" s="35" t="s">
        <v>35</v>
      </c>
      <c r="B12" t="s">
        <v>438</v>
      </c>
      <c r="C12" t="s">
        <v>439</v>
      </c>
      <c r="D12">
        <v>610</v>
      </c>
      <c r="E12">
        <v>1</v>
      </c>
      <c r="F12">
        <v>6</v>
      </c>
      <c r="G12">
        <v>0.9</v>
      </c>
      <c r="H12">
        <v>0.1</v>
      </c>
      <c r="I12">
        <v>6</v>
      </c>
      <c r="J12">
        <v>6</v>
      </c>
      <c r="K12">
        <v>9.8360655737704927E-3</v>
      </c>
      <c r="L12" s="35">
        <v>92.38</v>
      </c>
      <c r="M12">
        <v>0.46074380165289253</v>
      </c>
      <c r="N12">
        <v>0.2857142857142857</v>
      </c>
      <c r="O12" s="35">
        <v>0.29119955156950672</v>
      </c>
    </row>
    <row r="13" spans="1:15" x14ac:dyDescent="0.2">
      <c r="A13" s="35" t="s">
        <v>35</v>
      </c>
      <c r="B13" t="s">
        <v>438</v>
      </c>
      <c r="C13" t="s">
        <v>439</v>
      </c>
      <c r="D13">
        <v>610</v>
      </c>
      <c r="E13">
        <v>2</v>
      </c>
      <c r="F13">
        <v>12</v>
      </c>
      <c r="G13">
        <v>0.9</v>
      </c>
      <c r="H13">
        <v>0.1</v>
      </c>
      <c r="I13">
        <v>12</v>
      </c>
      <c r="J13">
        <v>12</v>
      </c>
      <c r="K13">
        <v>1.9672131147540989E-2</v>
      </c>
      <c r="L13" s="35">
        <v>85.69</v>
      </c>
      <c r="M13">
        <v>0.46074380165289253</v>
      </c>
      <c r="N13">
        <v>0.2857142857142857</v>
      </c>
      <c r="O13" s="35">
        <v>0.29119955156950672</v>
      </c>
    </row>
    <row r="14" spans="1:15" x14ac:dyDescent="0.2">
      <c r="A14" s="35" t="s">
        <v>35</v>
      </c>
      <c r="B14" t="s">
        <v>438</v>
      </c>
      <c r="C14" t="s">
        <v>439</v>
      </c>
      <c r="D14">
        <v>610</v>
      </c>
      <c r="E14">
        <v>3</v>
      </c>
      <c r="F14">
        <v>18</v>
      </c>
      <c r="G14">
        <v>0.9</v>
      </c>
      <c r="H14">
        <v>0.1</v>
      </c>
      <c r="I14">
        <v>18</v>
      </c>
      <c r="J14">
        <v>18</v>
      </c>
      <c r="K14">
        <v>2.950819672131148E-2</v>
      </c>
      <c r="L14" s="35">
        <v>87.92</v>
      </c>
      <c r="M14">
        <v>0.4642857142857143</v>
      </c>
      <c r="N14">
        <v>0.35714285714285721</v>
      </c>
      <c r="O14" s="35">
        <v>0.38076923076923069</v>
      </c>
    </row>
    <row r="15" spans="1:15" x14ac:dyDescent="0.2">
      <c r="A15" s="35" t="s">
        <v>35</v>
      </c>
      <c r="B15" t="s">
        <v>438</v>
      </c>
      <c r="C15" t="s">
        <v>439</v>
      </c>
      <c r="D15">
        <v>610</v>
      </c>
      <c r="E15">
        <v>4</v>
      </c>
      <c r="F15">
        <v>24</v>
      </c>
      <c r="G15">
        <v>0.9</v>
      </c>
      <c r="H15">
        <v>0.1</v>
      </c>
      <c r="I15">
        <v>34</v>
      </c>
      <c r="J15">
        <v>24</v>
      </c>
      <c r="K15">
        <v>3.9344262295081971E-2</v>
      </c>
      <c r="L15" s="35">
        <v>99.08</v>
      </c>
      <c r="M15">
        <v>0.7195652173913043</v>
      </c>
      <c r="N15">
        <v>0.44695378151260512</v>
      </c>
      <c r="O15" s="35">
        <v>0.479513765804088</v>
      </c>
    </row>
    <row r="16" spans="1:15" x14ac:dyDescent="0.2">
      <c r="A16" s="35" t="s">
        <v>35</v>
      </c>
      <c r="B16" t="s">
        <v>438</v>
      </c>
      <c r="C16" t="s">
        <v>439</v>
      </c>
      <c r="D16">
        <v>610</v>
      </c>
      <c r="E16">
        <v>5</v>
      </c>
      <c r="F16">
        <v>30</v>
      </c>
      <c r="G16">
        <v>0.9</v>
      </c>
      <c r="H16">
        <v>0.1</v>
      </c>
      <c r="I16">
        <v>60</v>
      </c>
      <c r="J16">
        <v>30</v>
      </c>
      <c r="K16">
        <v>4.9180327868852458E-2</v>
      </c>
      <c r="L16" s="35">
        <v>112.31</v>
      </c>
      <c r="M16">
        <v>0.7254464285714286</v>
      </c>
      <c r="N16">
        <v>0.50945378151260501</v>
      </c>
      <c r="O16" s="35">
        <v>0.56931464174454827</v>
      </c>
    </row>
    <row r="17" spans="1:16" x14ac:dyDescent="0.2">
      <c r="A17" s="35" t="s">
        <v>35</v>
      </c>
      <c r="B17" t="s">
        <v>438</v>
      </c>
      <c r="C17" t="s">
        <v>439</v>
      </c>
      <c r="D17">
        <v>610</v>
      </c>
      <c r="E17">
        <v>6</v>
      </c>
      <c r="F17">
        <v>37</v>
      </c>
      <c r="G17">
        <v>0.9</v>
      </c>
      <c r="H17">
        <v>0.1</v>
      </c>
      <c r="I17">
        <v>62</v>
      </c>
      <c r="J17">
        <v>37</v>
      </c>
      <c r="K17">
        <v>6.0655737704918028E-2</v>
      </c>
      <c r="L17" s="35">
        <v>113.53</v>
      </c>
      <c r="M17">
        <v>0.7254464285714286</v>
      </c>
      <c r="N17">
        <v>0.50945378151260501</v>
      </c>
      <c r="O17" s="35">
        <v>0.56931464174454827</v>
      </c>
    </row>
    <row r="18" spans="1:16" x14ac:dyDescent="0.2">
      <c r="A18" s="35" t="s">
        <v>35</v>
      </c>
      <c r="B18" t="s">
        <v>438</v>
      </c>
      <c r="C18" t="s">
        <v>439</v>
      </c>
      <c r="D18">
        <v>610</v>
      </c>
      <c r="E18">
        <v>7</v>
      </c>
      <c r="F18">
        <v>43</v>
      </c>
      <c r="G18">
        <v>0.9</v>
      </c>
      <c r="H18">
        <v>0.1</v>
      </c>
      <c r="I18">
        <v>67</v>
      </c>
      <c r="J18">
        <v>43</v>
      </c>
      <c r="K18">
        <v>7.0491803278688522E-2</v>
      </c>
      <c r="L18" s="35">
        <v>135.4</v>
      </c>
      <c r="M18">
        <v>0.7254464285714286</v>
      </c>
      <c r="N18">
        <v>0.50945378151260501</v>
      </c>
      <c r="O18" s="35">
        <v>0.56931464174454827</v>
      </c>
    </row>
    <row r="19" spans="1:16" x14ac:dyDescent="0.2">
      <c r="A19" s="35" t="s">
        <v>35</v>
      </c>
      <c r="B19" t="s">
        <v>438</v>
      </c>
      <c r="C19" t="s">
        <v>439</v>
      </c>
      <c r="D19">
        <v>610</v>
      </c>
      <c r="E19">
        <v>8</v>
      </c>
      <c r="F19">
        <v>49</v>
      </c>
      <c r="G19">
        <v>0.9</v>
      </c>
      <c r="H19">
        <v>0.1</v>
      </c>
      <c r="I19">
        <v>120</v>
      </c>
      <c r="J19">
        <v>49</v>
      </c>
      <c r="K19">
        <v>8.0327868852459017E-2</v>
      </c>
      <c r="L19" s="35">
        <v>161.33000000000001</v>
      </c>
      <c r="M19">
        <v>0.65224358974358976</v>
      </c>
      <c r="N19">
        <v>0.47829131652661061</v>
      </c>
      <c r="O19" s="35">
        <v>0.51564185544768071</v>
      </c>
    </row>
    <row r="20" spans="1:16" x14ac:dyDescent="0.2">
      <c r="A20" s="35" t="s">
        <v>35</v>
      </c>
      <c r="B20" t="s">
        <v>438</v>
      </c>
      <c r="C20" t="s">
        <v>439</v>
      </c>
      <c r="D20">
        <v>610</v>
      </c>
      <c r="E20">
        <v>9</v>
      </c>
      <c r="F20">
        <v>55</v>
      </c>
      <c r="G20">
        <v>0.9</v>
      </c>
      <c r="H20">
        <v>0.1</v>
      </c>
      <c r="I20">
        <v>123</v>
      </c>
      <c r="J20">
        <v>55</v>
      </c>
      <c r="K20">
        <v>9.0163934426229511E-2</v>
      </c>
      <c r="L20" s="35">
        <v>118.75</v>
      </c>
      <c r="M20">
        <v>0.65210355987055013</v>
      </c>
      <c r="N20">
        <v>0.47584033613445381</v>
      </c>
      <c r="O20" s="35">
        <v>0.51436314363143631</v>
      </c>
    </row>
    <row r="21" spans="1:16" x14ac:dyDescent="0.2">
      <c r="A21" s="35" t="s">
        <v>35</v>
      </c>
      <c r="B21" t="s">
        <v>438</v>
      </c>
      <c r="C21" t="s">
        <v>439</v>
      </c>
      <c r="D21">
        <v>610</v>
      </c>
      <c r="E21">
        <v>10</v>
      </c>
      <c r="F21">
        <v>61</v>
      </c>
      <c r="G21">
        <v>0.9</v>
      </c>
      <c r="H21">
        <v>0.1</v>
      </c>
      <c r="I21">
        <v>124</v>
      </c>
      <c r="J21">
        <v>61</v>
      </c>
      <c r="K21">
        <v>0.1</v>
      </c>
      <c r="L21" s="35">
        <v>122.38</v>
      </c>
      <c r="M21">
        <v>0.65196078431372551</v>
      </c>
      <c r="N21">
        <v>0.4733893557422969</v>
      </c>
      <c r="O21" s="35">
        <v>0.51307189542483655</v>
      </c>
    </row>
    <row r="22" spans="1:16" x14ac:dyDescent="0.2">
      <c r="A22" s="35" t="s">
        <v>36</v>
      </c>
      <c r="B22" t="s">
        <v>438</v>
      </c>
      <c r="C22" t="s">
        <v>60</v>
      </c>
      <c r="D22">
        <v>1681</v>
      </c>
      <c r="E22">
        <v>1</v>
      </c>
      <c r="F22">
        <v>17</v>
      </c>
      <c r="G22">
        <v>0.9</v>
      </c>
      <c r="H22">
        <v>0.1</v>
      </c>
      <c r="I22">
        <v>14</v>
      </c>
      <c r="J22">
        <v>17</v>
      </c>
      <c r="K22">
        <v>1.0113027959547889E-2</v>
      </c>
      <c r="L22" s="35">
        <v>6.72</v>
      </c>
      <c r="M22">
        <v>1</v>
      </c>
      <c r="N22">
        <v>0.15053763440860221</v>
      </c>
      <c r="O22" s="35">
        <v>0.26168224299065418</v>
      </c>
    </row>
    <row r="23" spans="1:16" x14ac:dyDescent="0.2">
      <c r="A23" s="35" t="s">
        <v>36</v>
      </c>
      <c r="B23" t="s">
        <v>438</v>
      </c>
      <c r="C23" t="s">
        <v>60</v>
      </c>
      <c r="D23">
        <v>1681</v>
      </c>
      <c r="E23">
        <v>3</v>
      </c>
      <c r="F23">
        <v>50</v>
      </c>
      <c r="G23">
        <v>0.9</v>
      </c>
      <c r="H23">
        <v>0.1</v>
      </c>
      <c r="I23">
        <v>44</v>
      </c>
      <c r="J23">
        <v>50</v>
      </c>
      <c r="K23">
        <v>2.9744199881023201E-2</v>
      </c>
      <c r="L23" s="35">
        <v>4.91</v>
      </c>
      <c r="M23">
        <v>1</v>
      </c>
      <c r="N23">
        <v>0.4731182795698925</v>
      </c>
      <c r="O23" s="35">
        <v>0.64233576642335766</v>
      </c>
      <c r="P23">
        <f>525625/1681</f>
        <v>312.6859012492564</v>
      </c>
    </row>
    <row r="24" spans="1:16" x14ac:dyDescent="0.2">
      <c r="A24" s="35" t="s">
        <v>36</v>
      </c>
      <c r="B24" t="s">
        <v>438</v>
      </c>
      <c r="C24" t="s">
        <v>60</v>
      </c>
      <c r="D24">
        <v>1681</v>
      </c>
      <c r="E24">
        <v>5</v>
      </c>
      <c r="F24">
        <v>84</v>
      </c>
      <c r="G24">
        <v>0.9</v>
      </c>
      <c r="H24">
        <v>0.1</v>
      </c>
      <c r="I24">
        <v>63</v>
      </c>
      <c r="J24">
        <v>84</v>
      </c>
      <c r="K24">
        <v>4.9970255800118983E-2</v>
      </c>
      <c r="L24" s="35">
        <v>4.91</v>
      </c>
      <c r="M24">
        <v>0.98412698412698407</v>
      </c>
      <c r="N24">
        <v>0.66666666666666663</v>
      </c>
      <c r="O24" s="35">
        <v>0.79487179487179505</v>
      </c>
    </row>
    <row r="25" spans="1:16" x14ac:dyDescent="0.2">
      <c r="A25" s="35" t="s">
        <v>36</v>
      </c>
      <c r="B25" t="s">
        <v>438</v>
      </c>
      <c r="C25" t="s">
        <v>60</v>
      </c>
      <c r="D25">
        <v>1681</v>
      </c>
      <c r="E25">
        <v>7</v>
      </c>
      <c r="F25">
        <v>118</v>
      </c>
      <c r="G25">
        <v>0.9</v>
      </c>
      <c r="H25">
        <v>0.1</v>
      </c>
      <c r="I25">
        <v>68</v>
      </c>
      <c r="J25">
        <v>118</v>
      </c>
      <c r="K25">
        <v>7.0196311719214755E-2</v>
      </c>
      <c r="L25" s="35">
        <v>5.31</v>
      </c>
      <c r="M25">
        <v>0.97058823529411764</v>
      </c>
      <c r="N25">
        <v>0.70967741935483875</v>
      </c>
      <c r="O25" s="35">
        <v>0.81987577639751563</v>
      </c>
    </row>
    <row r="26" spans="1:16" x14ac:dyDescent="0.2">
      <c r="A26" s="35" t="s">
        <v>36</v>
      </c>
      <c r="B26" t="s">
        <v>438</v>
      </c>
      <c r="C26" t="s">
        <v>60</v>
      </c>
      <c r="D26">
        <v>1681</v>
      </c>
      <c r="E26">
        <v>9</v>
      </c>
      <c r="F26">
        <v>151</v>
      </c>
      <c r="G26">
        <v>0.9</v>
      </c>
      <c r="H26">
        <v>0.1</v>
      </c>
      <c r="I26">
        <v>70</v>
      </c>
      <c r="J26">
        <v>151</v>
      </c>
      <c r="K26">
        <v>8.982748364069007E-2</v>
      </c>
      <c r="L26" s="35">
        <v>5.81</v>
      </c>
      <c r="M26">
        <v>0.97142857142857142</v>
      </c>
      <c r="N26">
        <v>0.73118279569892475</v>
      </c>
      <c r="O26" s="35">
        <v>0.83435582822085896</v>
      </c>
    </row>
    <row r="27" spans="1:16" x14ac:dyDescent="0.2">
      <c r="A27" s="35" t="s">
        <v>37</v>
      </c>
      <c r="B27" t="s">
        <v>438</v>
      </c>
      <c r="C27" t="s">
        <v>439</v>
      </c>
      <c r="D27">
        <v>1000</v>
      </c>
      <c r="E27">
        <v>1</v>
      </c>
      <c r="F27">
        <v>10</v>
      </c>
      <c r="G27">
        <v>0.9</v>
      </c>
      <c r="H27">
        <v>0.1</v>
      </c>
      <c r="I27">
        <v>3</v>
      </c>
      <c r="J27">
        <v>10</v>
      </c>
      <c r="K27">
        <v>0.01</v>
      </c>
      <c r="L27" s="35">
        <v>193.56</v>
      </c>
      <c r="M27">
        <v>0.66666666666666663</v>
      </c>
      <c r="N27">
        <v>0.5</v>
      </c>
      <c r="O27" s="35">
        <v>0.57142857142857151</v>
      </c>
    </row>
    <row r="28" spans="1:16" x14ac:dyDescent="0.2">
      <c r="A28" s="35" t="s">
        <v>37</v>
      </c>
      <c r="B28" t="s">
        <v>438</v>
      </c>
      <c r="C28" t="s">
        <v>439</v>
      </c>
      <c r="D28">
        <v>1000</v>
      </c>
      <c r="E28">
        <v>3</v>
      </c>
      <c r="F28">
        <v>30</v>
      </c>
      <c r="G28">
        <v>0.9</v>
      </c>
      <c r="H28">
        <v>0.1</v>
      </c>
      <c r="I28">
        <v>5</v>
      </c>
      <c r="J28">
        <v>30</v>
      </c>
      <c r="K28">
        <v>0.03</v>
      </c>
      <c r="L28" s="35">
        <v>189.19</v>
      </c>
      <c r="M28">
        <v>0.6</v>
      </c>
      <c r="N28">
        <v>0.75</v>
      </c>
      <c r="O28" s="35">
        <v>0.66666666666666652</v>
      </c>
    </row>
    <row r="29" spans="1:16" x14ac:dyDescent="0.2">
      <c r="A29" s="35" t="s">
        <v>37</v>
      </c>
      <c r="B29" t="s">
        <v>438</v>
      </c>
      <c r="C29" t="s">
        <v>439</v>
      </c>
      <c r="D29">
        <v>1000</v>
      </c>
      <c r="E29">
        <v>5</v>
      </c>
      <c r="F29">
        <v>50</v>
      </c>
      <c r="G29">
        <v>0.9</v>
      </c>
      <c r="H29">
        <v>0.1</v>
      </c>
      <c r="I29">
        <v>5</v>
      </c>
      <c r="J29">
        <v>50</v>
      </c>
      <c r="K29">
        <v>0.05</v>
      </c>
      <c r="L29" s="35">
        <v>215.91</v>
      </c>
      <c r="M29">
        <v>0.6</v>
      </c>
      <c r="N29">
        <v>0.75</v>
      </c>
      <c r="O29" s="35">
        <v>0.66666666666666652</v>
      </c>
    </row>
    <row r="30" spans="1:16" x14ac:dyDescent="0.2">
      <c r="A30" s="35" t="s">
        <v>37</v>
      </c>
      <c r="B30" t="s">
        <v>438</v>
      </c>
      <c r="C30" t="s">
        <v>439</v>
      </c>
      <c r="D30">
        <v>1000</v>
      </c>
      <c r="E30">
        <v>7</v>
      </c>
      <c r="F30">
        <v>70</v>
      </c>
      <c r="G30">
        <v>0.9</v>
      </c>
      <c r="H30">
        <v>0.1</v>
      </c>
      <c r="I30">
        <v>5</v>
      </c>
      <c r="J30">
        <v>70</v>
      </c>
      <c r="K30">
        <v>7.0000000000000007E-2</v>
      </c>
      <c r="L30" s="35">
        <v>205.68</v>
      </c>
      <c r="M30">
        <v>0.6</v>
      </c>
      <c r="N30">
        <v>0.75</v>
      </c>
      <c r="O30" s="35">
        <v>0.66666666666666652</v>
      </c>
    </row>
    <row r="31" spans="1:16" x14ac:dyDescent="0.2">
      <c r="A31" s="35" t="s">
        <v>37</v>
      </c>
      <c r="B31" t="s">
        <v>438</v>
      </c>
      <c r="C31" t="s">
        <v>439</v>
      </c>
      <c r="D31">
        <v>1000</v>
      </c>
      <c r="E31">
        <v>9</v>
      </c>
      <c r="F31">
        <v>90</v>
      </c>
      <c r="G31">
        <v>0.9</v>
      </c>
      <c r="H31">
        <v>0.1</v>
      </c>
      <c r="I31">
        <v>5</v>
      </c>
      <c r="J31">
        <v>90</v>
      </c>
      <c r="K31">
        <v>0.09</v>
      </c>
      <c r="L31" s="35">
        <v>219.1</v>
      </c>
      <c r="M31">
        <v>0.6</v>
      </c>
      <c r="N31">
        <v>0.75</v>
      </c>
      <c r="O31" s="35">
        <v>0.66666666666666652</v>
      </c>
    </row>
    <row r="32" spans="1:16" x14ac:dyDescent="0.2">
      <c r="A32" s="35" t="s">
        <v>38</v>
      </c>
      <c r="B32" t="s">
        <v>438</v>
      </c>
      <c r="C32" t="s">
        <v>439</v>
      </c>
      <c r="D32">
        <v>306</v>
      </c>
      <c r="E32">
        <v>1</v>
      </c>
      <c r="F32">
        <v>3</v>
      </c>
      <c r="G32">
        <v>0.9</v>
      </c>
      <c r="H32">
        <v>0.1</v>
      </c>
      <c r="I32">
        <v>0</v>
      </c>
      <c r="J32">
        <v>3</v>
      </c>
      <c r="K32">
        <v>9.8039215686274508E-3</v>
      </c>
      <c r="L32" s="35">
        <v>63.94</v>
      </c>
      <c r="M32">
        <v>0</v>
      </c>
      <c r="N32">
        <v>0</v>
      </c>
      <c r="O32" s="35">
        <v>0</v>
      </c>
    </row>
    <row r="33" spans="1:15" x14ac:dyDescent="0.2">
      <c r="A33" s="35" t="s">
        <v>38</v>
      </c>
      <c r="B33" t="s">
        <v>438</v>
      </c>
      <c r="C33" t="s">
        <v>439</v>
      </c>
      <c r="D33">
        <v>306</v>
      </c>
      <c r="E33">
        <v>3</v>
      </c>
      <c r="F33">
        <v>9</v>
      </c>
      <c r="G33">
        <v>0.9</v>
      </c>
      <c r="H33">
        <v>0.1</v>
      </c>
      <c r="I33">
        <v>4</v>
      </c>
      <c r="J33">
        <v>9</v>
      </c>
      <c r="K33">
        <v>2.9411764705882349E-2</v>
      </c>
      <c r="L33" s="35">
        <v>93.9</v>
      </c>
      <c r="M33">
        <v>0.75</v>
      </c>
      <c r="N33">
        <v>0.25</v>
      </c>
      <c r="O33" s="35">
        <v>0.375</v>
      </c>
    </row>
    <row r="34" spans="1:15" x14ac:dyDescent="0.2">
      <c r="A34" s="35" t="s">
        <v>38</v>
      </c>
      <c r="B34" t="s">
        <v>438</v>
      </c>
      <c r="C34" t="s">
        <v>439</v>
      </c>
      <c r="D34">
        <v>306</v>
      </c>
      <c r="E34">
        <v>5</v>
      </c>
      <c r="F34">
        <v>15</v>
      </c>
      <c r="G34">
        <v>0.9</v>
      </c>
      <c r="H34">
        <v>0.1</v>
      </c>
      <c r="I34">
        <v>7</v>
      </c>
      <c r="J34">
        <v>15</v>
      </c>
      <c r="K34">
        <v>4.9019607843137247E-2</v>
      </c>
      <c r="L34" s="35">
        <v>95.78</v>
      </c>
      <c r="M34">
        <v>1</v>
      </c>
      <c r="N34">
        <v>0.58333333333333337</v>
      </c>
      <c r="O34" s="35">
        <v>0.73684210526315785</v>
      </c>
    </row>
    <row r="35" spans="1:15" x14ac:dyDescent="0.2">
      <c r="A35" s="35" t="s">
        <v>38</v>
      </c>
      <c r="B35" t="s">
        <v>438</v>
      </c>
      <c r="C35" t="s">
        <v>439</v>
      </c>
      <c r="D35">
        <v>306</v>
      </c>
      <c r="E35">
        <v>7</v>
      </c>
      <c r="F35">
        <v>21</v>
      </c>
      <c r="G35">
        <v>0.9</v>
      </c>
      <c r="H35">
        <v>0.1</v>
      </c>
      <c r="I35">
        <v>11</v>
      </c>
      <c r="J35">
        <v>21</v>
      </c>
      <c r="K35">
        <v>6.8627450980392163E-2</v>
      </c>
      <c r="L35" s="35">
        <v>94.32</v>
      </c>
      <c r="M35">
        <v>0.81818181818181823</v>
      </c>
      <c r="N35">
        <v>0.75</v>
      </c>
      <c r="O35" s="35">
        <v>0.78260869565217384</v>
      </c>
    </row>
    <row r="36" spans="1:15" x14ac:dyDescent="0.2">
      <c r="A36" s="35" t="s">
        <v>38</v>
      </c>
      <c r="B36" t="s">
        <v>438</v>
      </c>
      <c r="C36" t="s">
        <v>439</v>
      </c>
      <c r="D36">
        <v>306</v>
      </c>
      <c r="E36">
        <v>9</v>
      </c>
      <c r="F36">
        <v>28</v>
      </c>
      <c r="G36">
        <v>0.9</v>
      </c>
      <c r="H36">
        <v>0.1</v>
      </c>
      <c r="I36">
        <v>13</v>
      </c>
      <c r="J36">
        <v>28</v>
      </c>
      <c r="K36">
        <v>9.1503267973856203E-2</v>
      </c>
      <c r="L36" s="35">
        <v>94.77</v>
      </c>
      <c r="M36">
        <v>0.76923076923076927</v>
      </c>
      <c r="N36">
        <v>0.83333333333333337</v>
      </c>
      <c r="O36" s="35">
        <v>0.8</v>
      </c>
    </row>
    <row r="37" spans="1:15" x14ac:dyDescent="0.2">
      <c r="A37" s="35" t="s">
        <v>39</v>
      </c>
      <c r="B37" t="s">
        <v>440</v>
      </c>
      <c r="C37" t="s">
        <v>439</v>
      </c>
      <c r="D37">
        <v>250</v>
      </c>
      <c r="E37">
        <v>1</v>
      </c>
      <c r="F37">
        <v>2</v>
      </c>
      <c r="G37">
        <v>0.9</v>
      </c>
      <c r="H37">
        <v>0.1</v>
      </c>
      <c r="I37">
        <v>0</v>
      </c>
      <c r="J37">
        <v>2</v>
      </c>
      <c r="K37">
        <v>8.0000000000000002E-3</v>
      </c>
      <c r="L37" s="35">
        <v>53.14</v>
      </c>
      <c r="M37">
        <v>0</v>
      </c>
      <c r="N37">
        <v>0</v>
      </c>
      <c r="O37" s="35">
        <v>0</v>
      </c>
    </row>
    <row r="38" spans="1:15" x14ac:dyDescent="0.2">
      <c r="A38" s="35" t="s">
        <v>39</v>
      </c>
      <c r="B38" t="s">
        <v>440</v>
      </c>
      <c r="C38" t="s">
        <v>439</v>
      </c>
      <c r="D38">
        <v>250</v>
      </c>
      <c r="E38">
        <v>3</v>
      </c>
      <c r="F38">
        <v>8</v>
      </c>
      <c r="G38">
        <v>0.9</v>
      </c>
      <c r="H38">
        <v>0.1</v>
      </c>
      <c r="I38">
        <v>3</v>
      </c>
      <c r="J38">
        <v>8</v>
      </c>
      <c r="K38">
        <v>3.2000000000000001E-2</v>
      </c>
      <c r="L38" s="35">
        <v>55.36</v>
      </c>
      <c r="M38">
        <v>0.66666666666666663</v>
      </c>
      <c r="N38">
        <v>0.16666666666666671</v>
      </c>
      <c r="O38" s="35">
        <v>0.26666666666666672</v>
      </c>
    </row>
    <row r="39" spans="1:15" x14ac:dyDescent="0.2">
      <c r="A39" s="35" t="s">
        <v>39</v>
      </c>
      <c r="B39" t="s">
        <v>440</v>
      </c>
      <c r="C39" t="s">
        <v>439</v>
      </c>
      <c r="D39">
        <v>250</v>
      </c>
      <c r="E39">
        <v>5</v>
      </c>
      <c r="F39">
        <v>12</v>
      </c>
      <c r="G39">
        <v>0.9</v>
      </c>
      <c r="H39">
        <v>0.1</v>
      </c>
      <c r="I39">
        <v>6</v>
      </c>
      <c r="J39">
        <v>12</v>
      </c>
      <c r="K39">
        <v>4.8000000000000001E-2</v>
      </c>
      <c r="L39" s="35">
        <v>62.07</v>
      </c>
      <c r="M39">
        <v>0.66666666666666663</v>
      </c>
      <c r="N39">
        <v>0.33333333333333331</v>
      </c>
      <c r="O39" s="35">
        <v>0.44444444444444442</v>
      </c>
    </row>
    <row r="40" spans="1:15" x14ac:dyDescent="0.2">
      <c r="A40" s="35" t="s">
        <v>39</v>
      </c>
      <c r="B40" t="s">
        <v>440</v>
      </c>
      <c r="C40" t="s">
        <v>439</v>
      </c>
      <c r="D40">
        <v>250</v>
      </c>
      <c r="E40">
        <v>7</v>
      </c>
      <c r="F40">
        <v>18</v>
      </c>
      <c r="G40">
        <v>0.9</v>
      </c>
      <c r="H40">
        <v>0.1</v>
      </c>
      <c r="I40">
        <v>7</v>
      </c>
      <c r="J40">
        <v>18</v>
      </c>
      <c r="K40">
        <v>7.1999999999999995E-2</v>
      </c>
      <c r="L40" s="35">
        <v>66.709999999999994</v>
      </c>
      <c r="M40">
        <v>0.7142857142857143</v>
      </c>
      <c r="N40">
        <v>0.41666666666666669</v>
      </c>
      <c r="O40" s="35">
        <v>0.52631578947368418</v>
      </c>
    </row>
    <row r="41" spans="1:15" x14ac:dyDescent="0.2">
      <c r="A41" s="35" t="s">
        <v>39</v>
      </c>
      <c r="B41" t="s">
        <v>440</v>
      </c>
      <c r="C41" t="s">
        <v>439</v>
      </c>
      <c r="D41">
        <v>250</v>
      </c>
      <c r="E41">
        <v>9</v>
      </c>
      <c r="F41">
        <v>22</v>
      </c>
      <c r="G41">
        <v>0.9</v>
      </c>
      <c r="H41">
        <v>0.1</v>
      </c>
      <c r="I41">
        <v>7</v>
      </c>
      <c r="J41">
        <v>22</v>
      </c>
      <c r="K41">
        <v>8.7999999999999995E-2</v>
      </c>
      <c r="L41" s="35">
        <v>63.38</v>
      </c>
      <c r="M41">
        <v>0.7142857142857143</v>
      </c>
      <c r="N41">
        <v>0.41666666666666669</v>
      </c>
      <c r="O41" s="35">
        <v>0.52631578947368396</v>
      </c>
    </row>
    <row r="42" spans="1:15" x14ac:dyDescent="0.2">
      <c r="A42" s="35" t="s">
        <v>40</v>
      </c>
      <c r="B42" t="s">
        <v>440</v>
      </c>
      <c r="C42" t="s">
        <v>439</v>
      </c>
      <c r="D42">
        <v>638</v>
      </c>
      <c r="E42">
        <v>1</v>
      </c>
      <c r="F42">
        <v>6</v>
      </c>
      <c r="G42">
        <v>0.9</v>
      </c>
      <c r="H42">
        <v>0.1</v>
      </c>
      <c r="I42">
        <v>6</v>
      </c>
      <c r="J42">
        <v>6</v>
      </c>
      <c r="K42">
        <v>9.4043887147335428E-3</v>
      </c>
      <c r="L42" s="35">
        <v>36.96</v>
      </c>
      <c r="M42">
        <v>1</v>
      </c>
      <c r="N42">
        <v>1.7595307917888561E-2</v>
      </c>
      <c r="O42" s="35">
        <v>3.4582132564841501E-2</v>
      </c>
    </row>
    <row r="43" spans="1:15" x14ac:dyDescent="0.2">
      <c r="A43" s="35" t="s">
        <v>40</v>
      </c>
      <c r="B43" t="s">
        <v>440</v>
      </c>
      <c r="C43" t="s">
        <v>439</v>
      </c>
      <c r="D43">
        <v>638</v>
      </c>
      <c r="E43">
        <v>3</v>
      </c>
      <c r="F43">
        <v>19</v>
      </c>
      <c r="G43">
        <v>0.9</v>
      </c>
      <c r="H43">
        <v>0.1</v>
      </c>
      <c r="I43">
        <v>19</v>
      </c>
      <c r="J43">
        <v>19</v>
      </c>
      <c r="K43">
        <v>2.978056426332288E-2</v>
      </c>
      <c r="L43" s="35">
        <v>37.22</v>
      </c>
      <c r="M43">
        <v>1</v>
      </c>
      <c r="N43">
        <v>5.5718475073313782E-2</v>
      </c>
      <c r="O43" s="35">
        <v>0.1055555555555556</v>
      </c>
    </row>
    <row r="44" spans="1:15" x14ac:dyDescent="0.2">
      <c r="A44" s="35" t="s">
        <v>40</v>
      </c>
      <c r="B44" t="s">
        <v>440</v>
      </c>
      <c r="C44" t="s">
        <v>439</v>
      </c>
      <c r="D44">
        <v>638</v>
      </c>
      <c r="E44">
        <v>5</v>
      </c>
      <c r="F44">
        <v>32</v>
      </c>
      <c r="G44">
        <v>0.9</v>
      </c>
      <c r="H44">
        <v>0.1</v>
      </c>
      <c r="I44">
        <v>63</v>
      </c>
      <c r="J44">
        <v>32</v>
      </c>
      <c r="K44">
        <v>5.0156739811912217E-2</v>
      </c>
      <c r="L44" s="35">
        <v>55.31</v>
      </c>
      <c r="M44">
        <v>1</v>
      </c>
      <c r="N44">
        <v>0.18475073313782989</v>
      </c>
      <c r="O44" s="35">
        <v>0.31188118811881188</v>
      </c>
    </row>
    <row r="45" spans="1:15" x14ac:dyDescent="0.2">
      <c r="A45" s="35" t="s">
        <v>40</v>
      </c>
      <c r="B45" t="s">
        <v>440</v>
      </c>
      <c r="C45" t="s">
        <v>439</v>
      </c>
      <c r="D45">
        <v>638</v>
      </c>
      <c r="E45">
        <v>7</v>
      </c>
      <c r="F45">
        <v>45</v>
      </c>
      <c r="G45">
        <v>0.9</v>
      </c>
      <c r="H45">
        <v>0.1</v>
      </c>
      <c r="I45">
        <v>96</v>
      </c>
      <c r="J45">
        <v>45</v>
      </c>
      <c r="K45">
        <v>7.0532915360501561E-2</v>
      </c>
      <c r="L45" s="35">
        <v>37.61</v>
      </c>
      <c r="M45">
        <v>1</v>
      </c>
      <c r="N45">
        <v>0.28152492668621698</v>
      </c>
      <c r="O45" s="35">
        <v>0.4393592677345538</v>
      </c>
    </row>
    <row r="46" spans="1:15" x14ac:dyDescent="0.2">
      <c r="A46" s="35" t="s">
        <v>40</v>
      </c>
      <c r="B46" t="s">
        <v>440</v>
      </c>
      <c r="C46" t="s">
        <v>439</v>
      </c>
      <c r="D46">
        <v>638</v>
      </c>
      <c r="E46">
        <v>9</v>
      </c>
      <c r="F46">
        <v>57</v>
      </c>
      <c r="G46">
        <v>0.9</v>
      </c>
      <c r="H46">
        <v>0.1</v>
      </c>
      <c r="I46">
        <v>186</v>
      </c>
      <c r="J46">
        <v>57</v>
      </c>
      <c r="K46">
        <v>8.9341692789968646E-2</v>
      </c>
      <c r="L46" s="35">
        <v>46.15</v>
      </c>
      <c r="M46">
        <v>1</v>
      </c>
      <c r="N46">
        <v>0.54545454545454541</v>
      </c>
      <c r="O46" s="35">
        <v>0.70588235294117596</v>
      </c>
    </row>
    <row r="47" spans="1:15" x14ac:dyDescent="0.2">
      <c r="A47" s="35" t="s">
        <v>41</v>
      </c>
      <c r="B47" t="s">
        <v>440</v>
      </c>
      <c r="C47" t="s">
        <v>60</v>
      </c>
      <c r="D47">
        <v>9828</v>
      </c>
      <c r="E47">
        <v>1</v>
      </c>
      <c r="F47">
        <v>98</v>
      </c>
      <c r="G47">
        <v>0.9</v>
      </c>
      <c r="H47">
        <v>0.1</v>
      </c>
      <c r="I47">
        <v>94</v>
      </c>
      <c r="J47">
        <v>98</v>
      </c>
      <c r="K47">
        <v>9.9715099715099714E-3</v>
      </c>
      <c r="L47" s="35">
        <v>32.049999999999997</v>
      </c>
      <c r="M47">
        <v>0.61702127659574468</v>
      </c>
      <c r="N47">
        <v>4.2274052478134108E-2</v>
      </c>
      <c r="O47" s="35">
        <v>7.9126875852660303E-2</v>
      </c>
    </row>
    <row r="48" spans="1:15" x14ac:dyDescent="0.2">
      <c r="A48" s="35" t="s">
        <v>41</v>
      </c>
      <c r="B48" t="s">
        <v>440</v>
      </c>
      <c r="C48" t="s">
        <v>60</v>
      </c>
      <c r="D48">
        <v>9828</v>
      </c>
      <c r="E48">
        <v>3</v>
      </c>
      <c r="F48">
        <v>295</v>
      </c>
      <c r="G48">
        <v>0.9</v>
      </c>
      <c r="H48">
        <v>0.1</v>
      </c>
      <c r="I48">
        <v>611</v>
      </c>
      <c r="J48">
        <v>295</v>
      </c>
      <c r="K48">
        <v>3.0016280016280011E-2</v>
      </c>
      <c r="L48" s="35">
        <v>38.090000000000003</v>
      </c>
      <c r="M48">
        <v>0.58919803600654663</v>
      </c>
      <c r="N48">
        <v>0.26239067055393578</v>
      </c>
      <c r="O48" s="35">
        <v>0.36308623298033282</v>
      </c>
    </row>
    <row r="49" spans="1:16" x14ac:dyDescent="0.2">
      <c r="A49" s="35" t="s">
        <v>41</v>
      </c>
      <c r="B49" t="s">
        <v>440</v>
      </c>
      <c r="C49" t="s">
        <v>60</v>
      </c>
      <c r="D49">
        <v>9828</v>
      </c>
      <c r="E49">
        <v>5</v>
      </c>
      <c r="F49">
        <v>491</v>
      </c>
      <c r="G49">
        <v>0.9</v>
      </c>
      <c r="H49">
        <v>0.1</v>
      </c>
      <c r="I49">
        <v>702</v>
      </c>
      <c r="J49">
        <v>491</v>
      </c>
      <c r="K49">
        <v>4.9959299959299958E-2</v>
      </c>
      <c r="L49" s="35">
        <v>42.41</v>
      </c>
      <c r="M49">
        <v>0.58689458689458684</v>
      </c>
      <c r="N49">
        <v>0.30029154518950429</v>
      </c>
      <c r="O49" s="35">
        <v>0.39729990356798461</v>
      </c>
    </row>
    <row r="50" spans="1:16" x14ac:dyDescent="0.2">
      <c r="A50" s="35" t="s">
        <v>41</v>
      </c>
      <c r="B50" t="s">
        <v>440</v>
      </c>
      <c r="C50" t="s">
        <v>60</v>
      </c>
      <c r="D50">
        <v>9828</v>
      </c>
      <c r="E50">
        <v>7</v>
      </c>
      <c r="F50">
        <v>688</v>
      </c>
      <c r="G50">
        <v>0.9</v>
      </c>
      <c r="H50">
        <v>0.1</v>
      </c>
      <c r="I50">
        <v>792</v>
      </c>
      <c r="J50">
        <v>688</v>
      </c>
      <c r="K50">
        <v>7.000407000407001E-2</v>
      </c>
      <c r="L50" s="35">
        <v>45.45</v>
      </c>
      <c r="M50">
        <v>0.57196969696969702</v>
      </c>
      <c r="N50">
        <v>0.33017492711370261</v>
      </c>
      <c r="O50" s="35">
        <v>0.41866913123844729</v>
      </c>
      <c r="P50">
        <f>157376/9828</f>
        <v>16.013024013024012</v>
      </c>
    </row>
    <row r="51" spans="1:16" x14ac:dyDescent="0.2">
      <c r="A51" s="35" t="s">
        <v>41</v>
      </c>
      <c r="B51" t="s">
        <v>440</v>
      </c>
      <c r="C51" t="s">
        <v>60</v>
      </c>
      <c r="D51">
        <v>9828</v>
      </c>
      <c r="E51">
        <v>9</v>
      </c>
      <c r="F51">
        <v>885</v>
      </c>
      <c r="G51">
        <v>0.9</v>
      </c>
      <c r="H51">
        <v>0.1</v>
      </c>
      <c r="I51">
        <v>881</v>
      </c>
      <c r="J51">
        <v>885</v>
      </c>
      <c r="K51">
        <v>9.0048840048840048E-2</v>
      </c>
      <c r="L51" s="35">
        <v>49.01</v>
      </c>
      <c r="M51">
        <v>0.55959137343927357</v>
      </c>
      <c r="N51">
        <v>0.35932944606414002</v>
      </c>
      <c r="O51" s="35">
        <v>0.43763870395028848</v>
      </c>
    </row>
    <row r="52" spans="1:16" x14ac:dyDescent="0.2">
      <c r="A52" s="35" t="s">
        <v>42</v>
      </c>
      <c r="B52" t="s">
        <v>440</v>
      </c>
      <c r="C52" t="s">
        <v>439</v>
      </c>
      <c r="D52">
        <v>1880</v>
      </c>
      <c r="E52">
        <v>1</v>
      </c>
      <c r="F52">
        <v>19</v>
      </c>
      <c r="G52">
        <v>0.9</v>
      </c>
      <c r="H52">
        <v>0.1</v>
      </c>
      <c r="I52">
        <v>11</v>
      </c>
      <c r="J52">
        <v>19</v>
      </c>
      <c r="K52">
        <v>1.01063829787234E-2</v>
      </c>
      <c r="L52" s="35">
        <v>160.52000000000001</v>
      </c>
      <c r="M52">
        <v>0.72727272727272729</v>
      </c>
      <c r="N52">
        <v>0.08</v>
      </c>
      <c r="O52" s="35">
        <v>0.14414414414414409</v>
      </c>
    </row>
    <row r="53" spans="1:16" x14ac:dyDescent="0.2">
      <c r="A53" s="35" t="s">
        <v>42</v>
      </c>
      <c r="B53" t="s">
        <v>440</v>
      </c>
      <c r="C53" t="s">
        <v>439</v>
      </c>
      <c r="D53">
        <v>1880</v>
      </c>
      <c r="E53">
        <v>3</v>
      </c>
      <c r="F53">
        <v>56</v>
      </c>
      <c r="G53">
        <v>0.9</v>
      </c>
      <c r="H53">
        <v>0.1</v>
      </c>
      <c r="I53">
        <v>27</v>
      </c>
      <c r="J53">
        <v>56</v>
      </c>
      <c r="K53">
        <v>2.9787234042553189E-2</v>
      </c>
      <c r="L53" s="35">
        <v>151.12</v>
      </c>
      <c r="M53">
        <v>0.59259259259259256</v>
      </c>
      <c r="N53">
        <v>0.16</v>
      </c>
      <c r="O53" s="35">
        <v>0.25196850393700798</v>
      </c>
    </row>
    <row r="54" spans="1:16" x14ac:dyDescent="0.2">
      <c r="A54" s="35" t="s">
        <v>42</v>
      </c>
      <c r="B54" t="s">
        <v>440</v>
      </c>
      <c r="C54" t="s">
        <v>439</v>
      </c>
      <c r="D54">
        <v>1880</v>
      </c>
      <c r="E54">
        <v>5</v>
      </c>
      <c r="F54">
        <v>94</v>
      </c>
      <c r="G54">
        <v>0.9</v>
      </c>
      <c r="H54">
        <v>0.1</v>
      </c>
      <c r="I54">
        <v>38</v>
      </c>
      <c r="J54">
        <v>94</v>
      </c>
      <c r="K54">
        <v>0.05</v>
      </c>
      <c r="L54" s="35">
        <v>160.44999999999999</v>
      </c>
      <c r="M54">
        <v>0.60526315789473684</v>
      </c>
      <c r="N54">
        <v>0.23</v>
      </c>
      <c r="O54" s="35">
        <v>0.33333333333333343</v>
      </c>
    </row>
    <row r="55" spans="1:16" x14ac:dyDescent="0.2">
      <c r="A55" s="35" t="s">
        <v>42</v>
      </c>
      <c r="B55" t="s">
        <v>440</v>
      </c>
      <c r="C55" t="s">
        <v>439</v>
      </c>
      <c r="D55">
        <v>1880</v>
      </c>
      <c r="E55">
        <v>7</v>
      </c>
      <c r="F55">
        <v>132</v>
      </c>
      <c r="G55">
        <v>0.9</v>
      </c>
      <c r="H55">
        <v>0.1</v>
      </c>
      <c r="I55">
        <v>48</v>
      </c>
      <c r="J55">
        <v>132</v>
      </c>
      <c r="K55">
        <v>7.0212765957446813E-2</v>
      </c>
      <c r="L55" s="35">
        <v>168.28</v>
      </c>
      <c r="M55">
        <v>0.5</v>
      </c>
      <c r="N55">
        <v>0.24</v>
      </c>
      <c r="O55" s="35">
        <v>0.32432432432432429</v>
      </c>
    </row>
    <row r="56" spans="1:16" x14ac:dyDescent="0.2">
      <c r="A56" s="35" t="s">
        <v>42</v>
      </c>
      <c r="B56" t="s">
        <v>440</v>
      </c>
      <c r="C56" t="s">
        <v>439</v>
      </c>
      <c r="D56">
        <v>1880</v>
      </c>
      <c r="E56">
        <v>9</v>
      </c>
      <c r="F56">
        <v>169</v>
      </c>
      <c r="G56">
        <v>0.9</v>
      </c>
      <c r="H56">
        <v>0.1</v>
      </c>
      <c r="I56">
        <v>55</v>
      </c>
      <c r="J56">
        <v>169</v>
      </c>
      <c r="K56">
        <v>8.9893617021276601E-2</v>
      </c>
      <c r="L56" s="35">
        <v>156.52000000000001</v>
      </c>
      <c r="M56">
        <v>0.43636363636363629</v>
      </c>
      <c r="N56">
        <v>0.24</v>
      </c>
      <c r="O56" s="35">
        <v>0.30967741935483872</v>
      </c>
    </row>
    <row r="57" spans="1:16" x14ac:dyDescent="0.2">
      <c r="A57" s="35" t="s">
        <v>43</v>
      </c>
      <c r="B57" t="s">
        <v>440</v>
      </c>
      <c r="C57" t="s">
        <v>439</v>
      </c>
      <c r="D57">
        <v>1600</v>
      </c>
      <c r="E57">
        <v>1</v>
      </c>
      <c r="F57">
        <v>16</v>
      </c>
      <c r="G57">
        <v>0.9</v>
      </c>
      <c r="H57">
        <v>0.1</v>
      </c>
      <c r="I57">
        <v>16</v>
      </c>
      <c r="J57">
        <v>16</v>
      </c>
      <c r="K57">
        <v>0.01</v>
      </c>
      <c r="L57" s="35">
        <v>71.430000000000007</v>
      </c>
      <c r="M57">
        <v>0</v>
      </c>
      <c r="N57">
        <v>0</v>
      </c>
      <c r="O57" s="35">
        <v>0</v>
      </c>
    </row>
    <row r="58" spans="1:16" x14ac:dyDescent="0.2">
      <c r="A58" s="35" t="s">
        <v>43</v>
      </c>
      <c r="B58" t="s">
        <v>440</v>
      </c>
      <c r="C58" t="s">
        <v>439</v>
      </c>
      <c r="D58">
        <v>1600</v>
      </c>
      <c r="E58">
        <v>3</v>
      </c>
      <c r="F58">
        <v>48</v>
      </c>
      <c r="G58">
        <v>0.9</v>
      </c>
      <c r="H58">
        <v>0.1</v>
      </c>
      <c r="I58">
        <v>80</v>
      </c>
      <c r="J58">
        <v>48</v>
      </c>
      <c r="K58">
        <v>0.03</v>
      </c>
      <c r="L58" s="35">
        <v>62.57</v>
      </c>
      <c r="M58">
        <v>0</v>
      </c>
      <c r="N58">
        <v>0</v>
      </c>
      <c r="O58" s="35">
        <v>0</v>
      </c>
    </row>
    <row r="59" spans="1:16" x14ac:dyDescent="0.2">
      <c r="A59" s="35" t="s">
        <v>43</v>
      </c>
      <c r="B59" t="s">
        <v>440</v>
      </c>
      <c r="C59" t="s">
        <v>439</v>
      </c>
      <c r="D59">
        <v>1600</v>
      </c>
      <c r="E59">
        <v>5</v>
      </c>
      <c r="F59">
        <v>80</v>
      </c>
      <c r="G59">
        <v>0.9</v>
      </c>
      <c r="H59">
        <v>0.1</v>
      </c>
      <c r="I59">
        <v>80</v>
      </c>
      <c r="J59">
        <v>80</v>
      </c>
      <c r="K59">
        <v>0.05</v>
      </c>
      <c r="L59" s="35">
        <v>62.38</v>
      </c>
      <c r="M59">
        <v>0</v>
      </c>
      <c r="N59">
        <v>0</v>
      </c>
      <c r="O59" s="35">
        <v>0</v>
      </c>
    </row>
    <row r="60" spans="1:16" x14ac:dyDescent="0.2">
      <c r="A60" s="35" t="s">
        <v>43</v>
      </c>
      <c r="B60" t="s">
        <v>440</v>
      </c>
      <c r="C60" t="s">
        <v>439</v>
      </c>
      <c r="D60">
        <v>1600</v>
      </c>
      <c r="E60">
        <v>7</v>
      </c>
      <c r="F60">
        <v>112</v>
      </c>
      <c r="G60">
        <v>0.9</v>
      </c>
      <c r="H60">
        <v>0.1</v>
      </c>
      <c r="I60">
        <v>81</v>
      </c>
      <c r="J60">
        <v>112</v>
      </c>
      <c r="K60">
        <v>7.0000000000000007E-2</v>
      </c>
      <c r="L60" s="35">
        <v>62.57</v>
      </c>
      <c r="M60">
        <v>0</v>
      </c>
      <c r="N60">
        <v>0</v>
      </c>
      <c r="O60" s="35">
        <v>0</v>
      </c>
    </row>
    <row r="61" spans="1:16" x14ac:dyDescent="0.2">
      <c r="A61" s="35" t="s">
        <v>43</v>
      </c>
      <c r="B61" t="s">
        <v>440</v>
      </c>
      <c r="C61" t="s">
        <v>439</v>
      </c>
      <c r="D61">
        <v>1600</v>
      </c>
      <c r="E61">
        <v>9</v>
      </c>
      <c r="F61">
        <v>144</v>
      </c>
      <c r="G61">
        <v>0.9</v>
      </c>
      <c r="H61">
        <v>0.1</v>
      </c>
      <c r="I61">
        <v>81</v>
      </c>
      <c r="J61">
        <v>144</v>
      </c>
      <c r="K61">
        <v>0.09</v>
      </c>
      <c r="L61" s="35">
        <v>62.2</v>
      </c>
      <c r="M61">
        <v>0</v>
      </c>
      <c r="N61">
        <v>0</v>
      </c>
      <c r="O61" s="35">
        <v>0</v>
      </c>
    </row>
    <row r="62" spans="1:16" x14ac:dyDescent="0.2">
      <c r="A62" s="35" t="s">
        <v>44</v>
      </c>
      <c r="B62" t="s">
        <v>438</v>
      </c>
      <c r="C62" t="s">
        <v>60</v>
      </c>
      <c r="D62">
        <v>65024</v>
      </c>
      <c r="E62">
        <v>1</v>
      </c>
      <c r="F62">
        <v>650</v>
      </c>
      <c r="G62">
        <v>0.9</v>
      </c>
      <c r="H62">
        <v>0.1</v>
      </c>
      <c r="I62">
        <v>3549</v>
      </c>
      <c r="J62">
        <v>650</v>
      </c>
      <c r="K62">
        <v>9.9963090551181098E-3</v>
      </c>
      <c r="L62" s="35">
        <v>160.47</v>
      </c>
      <c r="M62">
        <v>0.85252808988764039</v>
      </c>
      <c r="N62">
        <v>0.15039643211100101</v>
      </c>
      <c r="O62" s="35">
        <v>0.25568660488626788</v>
      </c>
    </row>
    <row r="63" spans="1:16" x14ac:dyDescent="0.2">
      <c r="A63" s="35" t="s">
        <v>44</v>
      </c>
      <c r="B63" t="s">
        <v>438</v>
      </c>
      <c r="C63" t="s">
        <v>60</v>
      </c>
      <c r="D63">
        <v>65024</v>
      </c>
      <c r="E63">
        <v>3</v>
      </c>
      <c r="F63">
        <v>1951</v>
      </c>
      <c r="G63">
        <v>0.9</v>
      </c>
      <c r="H63">
        <v>0.1</v>
      </c>
      <c r="I63">
        <v>1787</v>
      </c>
      <c r="J63">
        <v>1951</v>
      </c>
      <c r="K63">
        <v>3.00043061023622E-2</v>
      </c>
      <c r="L63" s="35">
        <v>774.48</v>
      </c>
      <c r="M63">
        <v>0.89260563380281688</v>
      </c>
      <c r="N63">
        <v>0.12561942517343899</v>
      </c>
      <c r="O63" s="35">
        <v>0.2202432667245873</v>
      </c>
    </row>
    <row r="64" spans="1:16" x14ac:dyDescent="0.2">
      <c r="A64" s="35" t="s">
        <v>44</v>
      </c>
      <c r="B64" t="s">
        <v>438</v>
      </c>
      <c r="C64" t="s">
        <v>60</v>
      </c>
      <c r="D64">
        <v>65024</v>
      </c>
      <c r="E64">
        <v>5</v>
      </c>
      <c r="F64">
        <v>3251</v>
      </c>
      <c r="G64">
        <v>0.9</v>
      </c>
      <c r="H64">
        <v>0.1</v>
      </c>
      <c r="I64">
        <v>3008</v>
      </c>
      <c r="J64">
        <v>3251</v>
      </c>
      <c r="K64">
        <v>4.9996924212598423E-2</v>
      </c>
      <c r="L64" s="35">
        <v>173.03</v>
      </c>
      <c r="M64">
        <v>0.88415672913117549</v>
      </c>
      <c r="N64">
        <v>0.12859266600594649</v>
      </c>
      <c r="O64" s="35">
        <v>0.22452952628163531</v>
      </c>
    </row>
    <row r="65" spans="1:15" x14ac:dyDescent="0.2">
      <c r="A65" s="35" t="s">
        <v>44</v>
      </c>
      <c r="B65" t="s">
        <v>438</v>
      </c>
      <c r="C65" t="s">
        <v>60</v>
      </c>
      <c r="D65">
        <v>65024</v>
      </c>
      <c r="E65">
        <v>7</v>
      </c>
      <c r="F65">
        <v>4552</v>
      </c>
      <c r="G65">
        <v>0.9</v>
      </c>
      <c r="H65">
        <v>0.1</v>
      </c>
      <c r="I65">
        <v>5360</v>
      </c>
      <c r="J65">
        <v>4552</v>
      </c>
      <c r="K65">
        <v>7.000492125984252E-2</v>
      </c>
      <c r="L65" s="35">
        <v>196.58</v>
      </c>
      <c r="M65">
        <v>0.83020730503455087</v>
      </c>
      <c r="N65">
        <v>0.2083746283448959</v>
      </c>
      <c r="O65" s="35">
        <v>0.333135274311745</v>
      </c>
    </row>
    <row r="66" spans="1:15" x14ac:dyDescent="0.2">
      <c r="A66" s="35" t="s">
        <v>44</v>
      </c>
      <c r="B66" t="s">
        <v>438</v>
      </c>
      <c r="C66" t="s">
        <v>60</v>
      </c>
      <c r="D66">
        <v>65024</v>
      </c>
      <c r="E66">
        <v>9</v>
      </c>
      <c r="F66">
        <v>5852</v>
      </c>
      <c r="G66">
        <v>0.9</v>
      </c>
      <c r="H66">
        <v>0.1</v>
      </c>
      <c r="I66">
        <v>8091</v>
      </c>
      <c r="J66">
        <v>5852</v>
      </c>
      <c r="K66">
        <v>8.9997539370078747E-2</v>
      </c>
      <c r="L66" s="35">
        <v>213.39</v>
      </c>
      <c r="M66">
        <v>0.75345167652859957</v>
      </c>
      <c r="N66">
        <v>0.28394449950445988</v>
      </c>
      <c r="O66" s="35">
        <v>0.41245276228180672</v>
      </c>
    </row>
    <row r="67" spans="1:15" x14ac:dyDescent="0.2">
      <c r="A67" s="35" t="s">
        <v>45</v>
      </c>
      <c r="B67" t="s">
        <v>438</v>
      </c>
      <c r="C67" t="s">
        <v>60</v>
      </c>
      <c r="D67">
        <v>266</v>
      </c>
      <c r="E67">
        <v>1</v>
      </c>
      <c r="F67">
        <v>3</v>
      </c>
      <c r="G67">
        <v>0.9</v>
      </c>
      <c r="H67">
        <v>0.1</v>
      </c>
      <c r="I67">
        <v>0</v>
      </c>
      <c r="J67">
        <v>3</v>
      </c>
      <c r="K67">
        <v>1.12781954887218E-2</v>
      </c>
      <c r="L67" s="35">
        <v>1.08</v>
      </c>
      <c r="M67">
        <v>0</v>
      </c>
      <c r="N67">
        <v>0</v>
      </c>
      <c r="O67" s="35">
        <v>0</v>
      </c>
    </row>
    <row r="68" spans="1:15" x14ac:dyDescent="0.2">
      <c r="A68" s="35" t="s">
        <v>45</v>
      </c>
      <c r="B68" t="s">
        <v>438</v>
      </c>
      <c r="C68" t="s">
        <v>60</v>
      </c>
      <c r="D68">
        <v>266</v>
      </c>
      <c r="E68">
        <v>3</v>
      </c>
      <c r="F68">
        <v>8</v>
      </c>
      <c r="G68">
        <v>0.9</v>
      </c>
      <c r="H68">
        <v>0.1</v>
      </c>
      <c r="I68">
        <v>0</v>
      </c>
      <c r="J68">
        <v>8</v>
      </c>
      <c r="K68">
        <v>3.007518796992481E-2</v>
      </c>
      <c r="L68" s="35">
        <v>0.73</v>
      </c>
      <c r="M68">
        <v>0</v>
      </c>
      <c r="N68">
        <v>0</v>
      </c>
      <c r="O68" s="35">
        <v>0</v>
      </c>
    </row>
    <row r="69" spans="1:15" x14ac:dyDescent="0.2">
      <c r="A69" s="35" t="s">
        <v>45</v>
      </c>
      <c r="B69" t="s">
        <v>438</v>
      </c>
      <c r="C69" t="s">
        <v>60</v>
      </c>
      <c r="D69">
        <v>266</v>
      </c>
      <c r="E69">
        <v>5</v>
      </c>
      <c r="F69">
        <v>13</v>
      </c>
      <c r="G69">
        <v>0.9</v>
      </c>
      <c r="H69">
        <v>0.1</v>
      </c>
      <c r="I69">
        <v>2</v>
      </c>
      <c r="J69">
        <v>13</v>
      </c>
      <c r="K69">
        <v>4.8872180451127817E-2</v>
      </c>
      <c r="L69" s="35">
        <v>0.85</v>
      </c>
      <c r="M69">
        <v>1</v>
      </c>
      <c r="N69">
        <v>1</v>
      </c>
      <c r="O69" s="35">
        <v>1</v>
      </c>
    </row>
    <row r="70" spans="1:15" x14ac:dyDescent="0.2">
      <c r="A70" s="35" t="s">
        <v>45</v>
      </c>
      <c r="B70" t="s">
        <v>438</v>
      </c>
      <c r="C70" t="s">
        <v>60</v>
      </c>
      <c r="D70">
        <v>266</v>
      </c>
      <c r="E70">
        <v>7</v>
      </c>
      <c r="F70">
        <v>19</v>
      </c>
      <c r="G70">
        <v>0.9</v>
      </c>
      <c r="H70">
        <v>0.1</v>
      </c>
      <c r="I70">
        <v>2</v>
      </c>
      <c r="J70">
        <v>19</v>
      </c>
      <c r="K70">
        <v>7.1428571428571425E-2</v>
      </c>
      <c r="L70" s="35">
        <v>0.92</v>
      </c>
      <c r="M70">
        <v>1</v>
      </c>
      <c r="N70">
        <v>1</v>
      </c>
      <c r="O70" s="35">
        <v>1</v>
      </c>
    </row>
    <row r="71" spans="1:15" x14ac:dyDescent="0.2">
      <c r="A71" s="35" t="s">
        <v>45</v>
      </c>
      <c r="B71" t="s">
        <v>438</v>
      </c>
      <c r="C71" t="s">
        <v>60</v>
      </c>
      <c r="D71">
        <v>266</v>
      </c>
      <c r="E71">
        <v>9</v>
      </c>
      <c r="F71">
        <v>24</v>
      </c>
      <c r="G71">
        <v>0.9</v>
      </c>
      <c r="H71">
        <v>0.1</v>
      </c>
      <c r="I71">
        <v>2</v>
      </c>
      <c r="J71">
        <v>24</v>
      </c>
      <c r="K71">
        <v>9.0225563909774431E-2</v>
      </c>
      <c r="L71" s="35">
        <v>0.89</v>
      </c>
      <c r="M71">
        <v>1</v>
      </c>
      <c r="N71">
        <v>1</v>
      </c>
      <c r="O71" s="35">
        <v>1</v>
      </c>
    </row>
    <row r="72" spans="1:15" x14ac:dyDescent="0.2">
      <c r="A72" s="35" t="s">
        <v>46</v>
      </c>
      <c r="B72" t="s">
        <v>438</v>
      </c>
      <c r="C72" t="s">
        <v>60</v>
      </c>
      <c r="D72">
        <v>1426</v>
      </c>
      <c r="E72">
        <v>1</v>
      </c>
      <c r="F72">
        <v>14</v>
      </c>
      <c r="G72">
        <v>0.9</v>
      </c>
      <c r="H72">
        <v>0.1</v>
      </c>
      <c r="I72">
        <v>7</v>
      </c>
      <c r="J72">
        <v>14</v>
      </c>
      <c r="K72">
        <v>9.8176718092566617E-3</v>
      </c>
      <c r="L72" s="35">
        <v>4</v>
      </c>
      <c r="M72">
        <v>0.7142857142857143</v>
      </c>
      <c r="N72">
        <v>0.7142857142857143</v>
      </c>
      <c r="O72" s="35">
        <v>0.7142857142857143</v>
      </c>
    </row>
    <row r="73" spans="1:15" x14ac:dyDescent="0.2">
      <c r="A73" s="35" t="s">
        <v>46</v>
      </c>
      <c r="B73" t="s">
        <v>438</v>
      </c>
      <c r="C73" t="s">
        <v>60</v>
      </c>
      <c r="D73">
        <v>1426</v>
      </c>
      <c r="E73">
        <v>3</v>
      </c>
      <c r="F73">
        <v>43</v>
      </c>
      <c r="G73">
        <v>0.9</v>
      </c>
      <c r="H73">
        <v>0.1</v>
      </c>
      <c r="I73">
        <v>11</v>
      </c>
      <c r="J73">
        <v>43</v>
      </c>
      <c r="K73">
        <v>3.015427769985975E-2</v>
      </c>
      <c r="L73" s="35">
        <v>3.61</v>
      </c>
      <c r="M73">
        <v>0.45454545454545447</v>
      </c>
      <c r="N73">
        <v>0.7142857142857143</v>
      </c>
      <c r="O73" s="35">
        <v>0.55555555555555558</v>
      </c>
    </row>
    <row r="74" spans="1:15" x14ac:dyDescent="0.2">
      <c r="A74" s="35" t="s">
        <v>46</v>
      </c>
      <c r="B74" t="s">
        <v>438</v>
      </c>
      <c r="C74" t="s">
        <v>60</v>
      </c>
      <c r="D74">
        <v>1426</v>
      </c>
      <c r="E74">
        <v>5</v>
      </c>
      <c r="F74">
        <v>71</v>
      </c>
      <c r="G74">
        <v>0.9</v>
      </c>
      <c r="H74">
        <v>0.1</v>
      </c>
      <c r="I74">
        <v>13</v>
      </c>
      <c r="J74">
        <v>71</v>
      </c>
      <c r="K74">
        <v>4.978962131837307E-2</v>
      </c>
      <c r="L74" s="35">
        <v>4.0999999999999996</v>
      </c>
      <c r="M74">
        <v>0.46153846153846162</v>
      </c>
      <c r="N74">
        <v>0.8571428571428571</v>
      </c>
      <c r="O74" s="35">
        <v>0.6</v>
      </c>
    </row>
    <row r="75" spans="1:15" x14ac:dyDescent="0.2">
      <c r="A75" s="35" t="s">
        <v>46</v>
      </c>
      <c r="B75" t="s">
        <v>438</v>
      </c>
      <c r="C75" t="s">
        <v>60</v>
      </c>
      <c r="D75">
        <v>1426</v>
      </c>
      <c r="E75">
        <v>7</v>
      </c>
      <c r="F75">
        <v>100</v>
      </c>
      <c r="G75">
        <v>0.9</v>
      </c>
      <c r="H75">
        <v>0.1</v>
      </c>
      <c r="I75">
        <v>15</v>
      </c>
      <c r="J75">
        <v>100</v>
      </c>
      <c r="K75">
        <v>7.0126227208976155E-2</v>
      </c>
      <c r="L75" s="35">
        <v>3.98</v>
      </c>
      <c r="M75">
        <v>0.4</v>
      </c>
      <c r="N75">
        <v>0.8571428571428571</v>
      </c>
      <c r="O75" s="35">
        <v>0.54545454545454553</v>
      </c>
    </row>
    <row r="76" spans="1:15" x14ac:dyDescent="0.2">
      <c r="A76" s="35" t="s">
        <v>46</v>
      </c>
      <c r="B76" t="s">
        <v>438</v>
      </c>
      <c r="C76" t="s">
        <v>60</v>
      </c>
      <c r="D76">
        <v>1426</v>
      </c>
      <c r="E76">
        <v>9</v>
      </c>
      <c r="F76">
        <v>128</v>
      </c>
      <c r="G76">
        <v>0.9</v>
      </c>
      <c r="H76">
        <v>0.1</v>
      </c>
      <c r="I76">
        <v>13</v>
      </c>
      <c r="J76">
        <v>128</v>
      </c>
      <c r="K76">
        <v>8.9761570827489479E-2</v>
      </c>
      <c r="L76" s="35">
        <v>4.0999999999999996</v>
      </c>
      <c r="M76">
        <v>0.46153846153846162</v>
      </c>
      <c r="N76">
        <v>0.8571428571428571</v>
      </c>
      <c r="O76" s="35">
        <v>0.6</v>
      </c>
    </row>
    <row r="77" spans="1:15" x14ac:dyDescent="0.2">
      <c r="A77" s="35" t="s">
        <v>47</v>
      </c>
      <c r="B77" t="s">
        <v>438</v>
      </c>
      <c r="C77" t="s">
        <v>60</v>
      </c>
      <c r="D77">
        <v>270</v>
      </c>
      <c r="E77">
        <v>1</v>
      </c>
      <c r="F77">
        <v>3</v>
      </c>
      <c r="G77">
        <v>0.9</v>
      </c>
      <c r="H77">
        <v>0.1</v>
      </c>
      <c r="I77">
        <v>2</v>
      </c>
      <c r="J77">
        <v>3</v>
      </c>
      <c r="K77">
        <v>1.111111111111111E-2</v>
      </c>
      <c r="L77" s="35">
        <v>0.74</v>
      </c>
      <c r="M77">
        <v>1</v>
      </c>
      <c r="N77">
        <v>0.25</v>
      </c>
      <c r="O77" s="35">
        <v>0.4</v>
      </c>
    </row>
    <row r="78" spans="1:15" x14ac:dyDescent="0.2">
      <c r="A78" s="35" t="s">
        <v>47</v>
      </c>
      <c r="B78" t="s">
        <v>438</v>
      </c>
      <c r="C78" t="s">
        <v>60</v>
      </c>
      <c r="D78">
        <v>270</v>
      </c>
      <c r="E78">
        <v>3</v>
      </c>
      <c r="F78">
        <v>8</v>
      </c>
      <c r="G78">
        <v>0.9</v>
      </c>
      <c r="H78">
        <v>0.1</v>
      </c>
      <c r="I78">
        <v>5</v>
      </c>
      <c r="J78">
        <v>8</v>
      </c>
      <c r="K78">
        <v>2.9629629629629631E-2</v>
      </c>
      <c r="L78" s="35">
        <v>0.86</v>
      </c>
      <c r="M78">
        <v>1</v>
      </c>
      <c r="N78">
        <v>0.625</v>
      </c>
      <c r="O78" s="35">
        <v>0.76923076923076927</v>
      </c>
    </row>
    <row r="79" spans="1:15" x14ac:dyDescent="0.2">
      <c r="A79" s="35" t="s">
        <v>47</v>
      </c>
      <c r="B79" t="s">
        <v>438</v>
      </c>
      <c r="C79" t="s">
        <v>60</v>
      </c>
      <c r="D79">
        <v>270</v>
      </c>
      <c r="E79">
        <v>5</v>
      </c>
      <c r="F79">
        <v>14</v>
      </c>
      <c r="G79">
        <v>0.9</v>
      </c>
      <c r="H79">
        <v>0.1</v>
      </c>
      <c r="I79">
        <v>8</v>
      </c>
      <c r="J79">
        <v>14</v>
      </c>
      <c r="K79">
        <v>5.185185185185185E-2</v>
      </c>
      <c r="L79" s="35">
        <v>0.86</v>
      </c>
      <c r="M79">
        <v>1</v>
      </c>
      <c r="N79">
        <v>1</v>
      </c>
      <c r="O79" s="35">
        <v>1</v>
      </c>
    </row>
    <row r="80" spans="1:15" x14ac:dyDescent="0.2">
      <c r="A80" s="35" t="s">
        <v>47</v>
      </c>
      <c r="B80" t="s">
        <v>438</v>
      </c>
      <c r="C80" t="s">
        <v>60</v>
      </c>
      <c r="D80">
        <v>270</v>
      </c>
      <c r="E80">
        <v>7</v>
      </c>
      <c r="F80">
        <v>19</v>
      </c>
      <c r="G80">
        <v>0.9</v>
      </c>
      <c r="H80">
        <v>0.1</v>
      </c>
      <c r="I80">
        <v>8</v>
      </c>
      <c r="J80">
        <v>19</v>
      </c>
      <c r="K80">
        <v>7.0370370370370375E-2</v>
      </c>
      <c r="L80" s="35">
        <v>0.94</v>
      </c>
      <c r="M80">
        <v>1</v>
      </c>
      <c r="N80">
        <v>1</v>
      </c>
      <c r="O80" s="35">
        <v>1</v>
      </c>
    </row>
    <row r="81" spans="1:15" x14ac:dyDescent="0.2">
      <c r="A81" s="35" t="s">
        <v>47</v>
      </c>
      <c r="B81" t="s">
        <v>438</v>
      </c>
      <c r="C81" t="s">
        <v>60</v>
      </c>
      <c r="D81">
        <v>270</v>
      </c>
      <c r="E81">
        <v>9</v>
      </c>
      <c r="F81">
        <v>24</v>
      </c>
      <c r="G81">
        <v>0.9</v>
      </c>
      <c r="H81">
        <v>0.1</v>
      </c>
      <c r="I81">
        <v>8</v>
      </c>
      <c r="J81">
        <v>24</v>
      </c>
      <c r="K81">
        <v>8.8888888888888892E-2</v>
      </c>
      <c r="L81" s="35">
        <v>0.97</v>
      </c>
      <c r="M81">
        <v>1</v>
      </c>
      <c r="N81">
        <v>1</v>
      </c>
      <c r="O81" s="35">
        <v>1</v>
      </c>
    </row>
    <row r="82" spans="1:15" x14ac:dyDescent="0.2">
      <c r="A82" s="35" t="s">
        <v>48</v>
      </c>
      <c r="B82" t="s">
        <v>438</v>
      </c>
      <c r="C82" t="s">
        <v>60</v>
      </c>
      <c r="D82">
        <v>1421</v>
      </c>
      <c r="E82">
        <v>1</v>
      </c>
      <c r="F82">
        <v>14</v>
      </c>
      <c r="G82">
        <v>0.9</v>
      </c>
      <c r="H82">
        <v>0.1</v>
      </c>
      <c r="I82">
        <v>6</v>
      </c>
      <c r="J82">
        <v>14</v>
      </c>
      <c r="K82">
        <v>9.852216748768473E-3</v>
      </c>
      <c r="L82" s="35">
        <v>3.59</v>
      </c>
      <c r="M82">
        <v>0.83333333333333337</v>
      </c>
      <c r="N82">
        <v>0.45454545454545447</v>
      </c>
      <c r="O82" s="35">
        <v>0.58823529411764708</v>
      </c>
    </row>
    <row r="83" spans="1:15" x14ac:dyDescent="0.2">
      <c r="A83" s="35" t="s">
        <v>48</v>
      </c>
      <c r="B83" t="s">
        <v>438</v>
      </c>
      <c r="C83" t="s">
        <v>60</v>
      </c>
      <c r="D83">
        <v>1421</v>
      </c>
      <c r="E83">
        <v>3</v>
      </c>
      <c r="F83">
        <v>43</v>
      </c>
      <c r="G83">
        <v>0.9</v>
      </c>
      <c r="H83">
        <v>0.1</v>
      </c>
      <c r="I83">
        <v>12</v>
      </c>
      <c r="J83">
        <v>43</v>
      </c>
      <c r="K83">
        <v>3.0260380014074599E-2</v>
      </c>
      <c r="L83" s="35">
        <v>3.7</v>
      </c>
      <c r="M83">
        <v>0.58333333333333337</v>
      </c>
      <c r="N83">
        <v>0.63636363636363635</v>
      </c>
      <c r="O83" s="35">
        <v>0.60869565217391308</v>
      </c>
    </row>
    <row r="84" spans="1:15" x14ac:dyDescent="0.2">
      <c r="A84" s="35" t="s">
        <v>48</v>
      </c>
      <c r="B84" t="s">
        <v>438</v>
      </c>
      <c r="C84" t="s">
        <v>60</v>
      </c>
      <c r="D84">
        <v>1421</v>
      </c>
      <c r="E84">
        <v>5</v>
      </c>
      <c r="F84">
        <v>71</v>
      </c>
      <c r="G84">
        <v>0.9</v>
      </c>
      <c r="H84">
        <v>0.1</v>
      </c>
      <c r="I84">
        <v>12</v>
      </c>
      <c r="J84">
        <v>71</v>
      </c>
      <c r="K84">
        <v>4.9964813511611542E-2</v>
      </c>
      <c r="L84" s="35">
        <v>4.46</v>
      </c>
      <c r="M84">
        <v>0.66666666666666663</v>
      </c>
      <c r="N84">
        <v>0.72727272727272729</v>
      </c>
      <c r="O84" s="35">
        <v>0.69565217391304301</v>
      </c>
    </row>
    <row r="85" spans="1:15" x14ac:dyDescent="0.2">
      <c r="A85" s="35" t="s">
        <v>48</v>
      </c>
      <c r="B85" t="s">
        <v>438</v>
      </c>
      <c r="C85" t="s">
        <v>60</v>
      </c>
      <c r="D85">
        <v>1421</v>
      </c>
      <c r="E85">
        <v>7</v>
      </c>
      <c r="F85">
        <v>99</v>
      </c>
      <c r="G85">
        <v>0.9</v>
      </c>
      <c r="H85">
        <v>0.1</v>
      </c>
      <c r="I85">
        <v>12</v>
      </c>
      <c r="J85">
        <v>99</v>
      </c>
      <c r="K85">
        <v>6.9669247009148491E-2</v>
      </c>
      <c r="L85" s="35">
        <v>4.26</v>
      </c>
      <c r="M85">
        <v>0.66666666666666663</v>
      </c>
      <c r="N85">
        <v>0.72727272727272729</v>
      </c>
      <c r="O85" s="35">
        <v>0.69565217391304346</v>
      </c>
    </row>
    <row r="86" spans="1:15" x14ac:dyDescent="0.2">
      <c r="A86" s="35" t="s">
        <v>48</v>
      </c>
      <c r="B86" t="s">
        <v>438</v>
      </c>
      <c r="C86" t="s">
        <v>60</v>
      </c>
      <c r="D86">
        <v>1421</v>
      </c>
      <c r="E86">
        <v>9</v>
      </c>
      <c r="F86">
        <v>128</v>
      </c>
      <c r="G86">
        <v>0.9</v>
      </c>
      <c r="H86">
        <v>0.1</v>
      </c>
      <c r="I86">
        <v>12</v>
      </c>
      <c r="J86">
        <v>128</v>
      </c>
      <c r="K86">
        <v>9.0077410274454608E-2</v>
      </c>
      <c r="L86" s="35">
        <v>4.74</v>
      </c>
      <c r="M86">
        <v>0.66666666666666663</v>
      </c>
      <c r="N86">
        <v>0.72727272727272729</v>
      </c>
      <c r="O86" s="35">
        <v>0.69565217391304346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7"/>
  <sheetViews>
    <sheetView tabSelected="1" topLeftCell="A101" zoomScale="143" workbookViewId="0">
      <selection activeCell="E67" sqref="E67"/>
    </sheetView>
  </sheetViews>
  <sheetFormatPr baseColWidth="10" defaultColWidth="8.83203125" defaultRowHeight="15" x14ac:dyDescent="0.2"/>
  <cols>
    <col min="1" max="1" width="16.5" customWidth="1"/>
    <col min="2" max="2" width="14.5" customWidth="1"/>
    <col min="3" max="3" width="16.1640625" customWidth="1"/>
  </cols>
  <sheetData>
    <row r="1" spans="1:3" x14ac:dyDescent="0.2">
      <c r="A1" t="s">
        <v>0</v>
      </c>
      <c r="B1" t="s">
        <v>441</v>
      </c>
      <c r="C1" t="s">
        <v>442</v>
      </c>
    </row>
    <row r="2" spans="1:3" x14ac:dyDescent="0.2">
      <c r="A2" t="s">
        <v>40</v>
      </c>
      <c r="B2" t="s">
        <v>443</v>
      </c>
      <c r="C2">
        <v>0.9</v>
      </c>
    </row>
    <row r="3" spans="1:3" x14ac:dyDescent="0.2">
      <c r="A3" t="s">
        <v>41</v>
      </c>
      <c r="B3" t="s">
        <v>443</v>
      </c>
      <c r="C3">
        <v>0.52139999999999997</v>
      </c>
    </row>
    <row r="4" spans="1:3" x14ac:dyDescent="0.2">
      <c r="A4" t="s">
        <v>42</v>
      </c>
      <c r="B4" t="s">
        <v>443</v>
      </c>
      <c r="C4">
        <v>7.0000000000000007E-2</v>
      </c>
    </row>
    <row r="5" spans="1:3" x14ac:dyDescent="0.2">
      <c r="A5" t="s">
        <v>39</v>
      </c>
      <c r="B5" t="s">
        <v>443</v>
      </c>
      <c r="C5">
        <v>0.85699999999999998</v>
      </c>
    </row>
    <row r="6" spans="1:3" x14ac:dyDescent="0.2">
      <c r="A6" t="s">
        <v>35</v>
      </c>
      <c r="B6" t="s">
        <v>443</v>
      </c>
      <c r="C6">
        <v>0.72099999999999997</v>
      </c>
    </row>
    <row r="7" spans="1:3" x14ac:dyDescent="0.2">
      <c r="A7" t="s">
        <v>36</v>
      </c>
      <c r="B7" t="s">
        <v>443</v>
      </c>
      <c r="C7">
        <v>0.57099999999999995</v>
      </c>
    </row>
    <row r="8" spans="1:3" x14ac:dyDescent="0.2">
      <c r="A8" t="s">
        <v>37</v>
      </c>
      <c r="B8" t="s">
        <v>443</v>
      </c>
      <c r="C8">
        <v>0.16</v>
      </c>
    </row>
    <row r="9" spans="1:3" x14ac:dyDescent="0.2">
      <c r="A9" t="s">
        <v>38</v>
      </c>
      <c r="B9" t="s">
        <v>443</v>
      </c>
      <c r="C9">
        <v>0.25800000000000001</v>
      </c>
    </row>
    <row r="10" spans="1:3" x14ac:dyDescent="0.2">
      <c r="A10" t="s">
        <v>33</v>
      </c>
      <c r="B10" t="s">
        <v>443</v>
      </c>
      <c r="C10">
        <v>6.6000000000000003E-2</v>
      </c>
    </row>
    <row r="11" spans="1:3" x14ac:dyDescent="0.2">
      <c r="A11" t="s">
        <v>34</v>
      </c>
      <c r="B11" t="s">
        <v>443</v>
      </c>
      <c r="C11">
        <v>0</v>
      </c>
    </row>
    <row r="12" spans="1:3" x14ac:dyDescent="0.2">
      <c r="A12" t="s">
        <v>43</v>
      </c>
      <c r="B12" t="s">
        <v>443</v>
      </c>
      <c r="C12">
        <v>0.8</v>
      </c>
    </row>
    <row r="13" spans="1:3" x14ac:dyDescent="0.2">
      <c r="A13" t="s">
        <v>45</v>
      </c>
      <c r="B13" t="s">
        <v>443</v>
      </c>
      <c r="C13">
        <v>0.66600000000000004</v>
      </c>
    </row>
    <row r="14" spans="1:3" x14ac:dyDescent="0.2">
      <c r="A14" t="s">
        <v>46</v>
      </c>
      <c r="B14" t="s">
        <v>443</v>
      </c>
      <c r="C14">
        <v>0.17499999999999999</v>
      </c>
    </row>
    <row r="15" spans="1:3" x14ac:dyDescent="0.2">
      <c r="A15" t="s">
        <v>47</v>
      </c>
      <c r="B15" t="s">
        <v>443</v>
      </c>
      <c r="C15">
        <v>0.66600000000000004</v>
      </c>
    </row>
    <row r="16" spans="1:3" x14ac:dyDescent="0.2">
      <c r="A16" t="s">
        <v>48</v>
      </c>
      <c r="B16" t="s">
        <v>443</v>
      </c>
      <c r="C16">
        <v>0.55559999999999998</v>
      </c>
    </row>
    <row r="17" spans="1:3" x14ac:dyDescent="0.2">
      <c r="A17" t="s">
        <v>44</v>
      </c>
      <c r="B17" t="s">
        <v>443</v>
      </c>
      <c r="C17">
        <v>0.28570000000000001</v>
      </c>
    </row>
    <row r="18" spans="1:3" x14ac:dyDescent="0.2">
      <c r="A18" t="s">
        <v>40</v>
      </c>
      <c r="B18" t="s">
        <v>444</v>
      </c>
      <c r="C18">
        <v>0.95230000000000004</v>
      </c>
    </row>
    <row r="19" spans="1:3" x14ac:dyDescent="0.2">
      <c r="A19" t="s">
        <v>41</v>
      </c>
      <c r="B19" t="s">
        <v>444</v>
      </c>
      <c r="C19">
        <v>0.46679999999999999</v>
      </c>
    </row>
    <row r="20" spans="1:3" x14ac:dyDescent="0.2">
      <c r="A20" t="s">
        <v>42</v>
      </c>
      <c r="B20" t="s">
        <v>444</v>
      </c>
      <c r="C20">
        <v>0.21099999999999999</v>
      </c>
    </row>
    <row r="21" spans="1:3" x14ac:dyDescent="0.2">
      <c r="A21" t="s">
        <v>39</v>
      </c>
      <c r="B21" t="s">
        <v>444</v>
      </c>
    </row>
    <row r="22" spans="1:3" x14ac:dyDescent="0.2">
      <c r="A22" t="s">
        <v>35</v>
      </c>
      <c r="B22" t="s">
        <v>444</v>
      </c>
    </row>
    <row r="23" spans="1:3" x14ac:dyDescent="0.2">
      <c r="A23" t="s">
        <v>36</v>
      </c>
      <c r="B23" t="s">
        <v>444</v>
      </c>
      <c r="C23">
        <v>0.504</v>
      </c>
    </row>
    <row r="24" spans="1:3" x14ac:dyDescent="0.2">
      <c r="A24" t="s">
        <v>37</v>
      </c>
      <c r="B24" t="s">
        <v>444</v>
      </c>
      <c r="C24">
        <v>0</v>
      </c>
    </row>
    <row r="25" spans="1:3" x14ac:dyDescent="0.2">
      <c r="A25" t="s">
        <v>38</v>
      </c>
      <c r="B25" t="s">
        <v>444</v>
      </c>
      <c r="C25">
        <v>0</v>
      </c>
    </row>
    <row r="26" spans="1:3" x14ac:dyDescent="0.2">
      <c r="A26" t="s">
        <v>33</v>
      </c>
      <c r="B26" t="s">
        <v>444</v>
      </c>
      <c r="C26">
        <v>0</v>
      </c>
    </row>
    <row r="27" spans="1:3" x14ac:dyDescent="0.2">
      <c r="A27" t="s">
        <v>34</v>
      </c>
      <c r="B27" t="s">
        <v>444</v>
      </c>
      <c r="C27">
        <v>8.9999999999999993E-3</v>
      </c>
    </row>
    <row r="28" spans="1:3" x14ac:dyDescent="0.2">
      <c r="A28" t="s">
        <v>43</v>
      </c>
      <c r="B28" t="s">
        <v>444</v>
      </c>
      <c r="C28">
        <v>0.85</v>
      </c>
    </row>
    <row r="29" spans="1:3" x14ac:dyDescent="0.2">
      <c r="A29" t="s">
        <v>45</v>
      </c>
      <c r="B29" t="s">
        <v>444</v>
      </c>
    </row>
    <row r="30" spans="1:3" x14ac:dyDescent="0.2">
      <c r="A30" t="s">
        <v>46</v>
      </c>
      <c r="B30" t="s">
        <v>444</v>
      </c>
      <c r="C30">
        <v>0.107</v>
      </c>
    </row>
    <row r="31" spans="1:3" x14ac:dyDescent="0.2">
      <c r="A31" t="s">
        <v>47</v>
      </c>
      <c r="B31" t="s">
        <v>444</v>
      </c>
      <c r="C31">
        <v>0.93300000000000005</v>
      </c>
    </row>
    <row r="32" spans="1:3" x14ac:dyDescent="0.2">
      <c r="A32" t="s">
        <v>48</v>
      </c>
      <c r="B32" t="s">
        <v>444</v>
      </c>
      <c r="C32">
        <v>0.12690000000000001</v>
      </c>
    </row>
    <row r="33" spans="1:3" x14ac:dyDescent="0.2">
      <c r="A33" t="s">
        <v>44</v>
      </c>
      <c r="B33" t="s">
        <v>444</v>
      </c>
      <c r="C33">
        <v>0.7</v>
      </c>
    </row>
    <row r="34" spans="1:3" x14ac:dyDescent="0.2">
      <c r="A34" t="s">
        <v>40</v>
      </c>
      <c r="B34" t="s">
        <v>445</v>
      </c>
      <c r="C34">
        <v>1</v>
      </c>
    </row>
    <row r="35" spans="1:3" x14ac:dyDescent="0.2">
      <c r="A35" t="s">
        <v>41</v>
      </c>
      <c r="B35" t="s">
        <v>445</v>
      </c>
      <c r="C35">
        <v>0.9321565880536582</v>
      </c>
    </row>
    <row r="36" spans="1:3" x14ac:dyDescent="0.2">
      <c r="A36" t="s">
        <v>42</v>
      </c>
      <c r="B36" t="s">
        <v>445</v>
      </c>
      <c r="C36">
        <v>0.23863000000000001</v>
      </c>
    </row>
    <row r="37" spans="1:3" x14ac:dyDescent="0.2">
      <c r="A37" t="s">
        <v>39</v>
      </c>
      <c r="B37" t="s">
        <v>445</v>
      </c>
      <c r="C37">
        <v>0.76910000000000001</v>
      </c>
    </row>
    <row r="38" spans="1:3" x14ac:dyDescent="0.2">
      <c r="A38" t="s">
        <v>36</v>
      </c>
      <c r="B38" t="s">
        <v>445</v>
      </c>
      <c r="C38">
        <v>0.97894736842105201</v>
      </c>
    </row>
    <row r="39" spans="1:3" x14ac:dyDescent="0.2">
      <c r="A39" t="s">
        <v>37</v>
      </c>
      <c r="B39" t="s">
        <v>445</v>
      </c>
      <c r="C39">
        <v>0.61499999999999999</v>
      </c>
    </row>
    <row r="40" spans="1:3" x14ac:dyDescent="0.2">
      <c r="A40" t="s">
        <v>38</v>
      </c>
      <c r="B40" t="s">
        <v>445</v>
      </c>
      <c r="C40">
        <v>0.47799999999999998</v>
      </c>
    </row>
    <row r="41" spans="1:3" x14ac:dyDescent="0.2">
      <c r="A41" t="s">
        <v>33</v>
      </c>
      <c r="B41" t="s">
        <v>445</v>
      </c>
      <c r="C41">
        <v>0.58799999999999997</v>
      </c>
    </row>
    <row r="42" spans="1:3" x14ac:dyDescent="0.2">
      <c r="A42" t="s">
        <v>34</v>
      </c>
      <c r="B42" t="s">
        <v>445</v>
      </c>
      <c r="C42">
        <v>0.02</v>
      </c>
    </row>
    <row r="43" spans="1:3" x14ac:dyDescent="0.2">
      <c r="A43" t="s">
        <v>43</v>
      </c>
      <c r="B43" t="s">
        <v>445</v>
      </c>
      <c r="C43">
        <v>0.36296</v>
      </c>
    </row>
    <row r="44" spans="1:3" x14ac:dyDescent="0.2">
      <c r="A44" t="s">
        <v>45</v>
      </c>
      <c r="B44" t="s">
        <v>445</v>
      </c>
      <c r="C44">
        <v>0.8</v>
      </c>
    </row>
    <row r="45" spans="1:3" x14ac:dyDescent="0.2">
      <c r="A45" t="s">
        <v>46</v>
      </c>
      <c r="B45" t="s">
        <v>445</v>
      </c>
      <c r="C45">
        <v>0.92300000000000004</v>
      </c>
    </row>
    <row r="46" spans="1:3" x14ac:dyDescent="0.2">
      <c r="A46" t="s">
        <v>47</v>
      </c>
      <c r="B46" t="s">
        <v>445</v>
      </c>
      <c r="C46">
        <v>1</v>
      </c>
    </row>
    <row r="47" spans="1:3" x14ac:dyDescent="0.2">
      <c r="A47" t="s">
        <v>48</v>
      </c>
      <c r="B47" t="s">
        <v>445</v>
      </c>
      <c r="C47">
        <v>0.54998999999999998</v>
      </c>
    </row>
    <row r="48" spans="1:3" x14ac:dyDescent="0.2">
      <c r="A48" t="s">
        <v>40</v>
      </c>
      <c r="B48" t="s">
        <v>446</v>
      </c>
      <c r="C48">
        <v>0.98650000000000004</v>
      </c>
    </row>
    <row r="49" spans="1:3" x14ac:dyDescent="0.2">
      <c r="A49" t="s">
        <v>41</v>
      </c>
      <c r="B49" t="s">
        <v>446</v>
      </c>
      <c r="C49">
        <v>0.54879999999999995</v>
      </c>
    </row>
    <row r="50" spans="1:3" x14ac:dyDescent="0.2">
      <c r="A50" t="s">
        <v>42</v>
      </c>
      <c r="B50" t="s">
        <v>446</v>
      </c>
      <c r="C50">
        <v>0.318</v>
      </c>
    </row>
    <row r="51" spans="1:3" x14ac:dyDescent="0.2">
      <c r="A51" t="s">
        <v>35</v>
      </c>
      <c r="B51" t="s">
        <v>446</v>
      </c>
      <c r="C51">
        <v>0.63</v>
      </c>
    </row>
    <row r="52" spans="1:3" x14ac:dyDescent="0.2">
      <c r="A52" t="s">
        <v>39</v>
      </c>
      <c r="B52" t="s">
        <v>446</v>
      </c>
      <c r="C52">
        <v>0.85709999999999997</v>
      </c>
    </row>
    <row r="53" spans="1:3" x14ac:dyDescent="0.2">
      <c r="A53" t="s">
        <v>36</v>
      </c>
      <c r="B53" t="s">
        <v>446</v>
      </c>
      <c r="C53">
        <v>0.88400000000000001</v>
      </c>
    </row>
    <row r="54" spans="1:3" x14ac:dyDescent="0.2">
      <c r="A54" t="s">
        <v>37</v>
      </c>
      <c r="B54" t="s">
        <v>446</v>
      </c>
      <c r="C54">
        <v>0.7</v>
      </c>
    </row>
    <row r="55" spans="1:3" x14ac:dyDescent="0.2">
      <c r="A55" t="s">
        <v>38</v>
      </c>
      <c r="B55" t="s">
        <v>446</v>
      </c>
      <c r="C55">
        <v>0.41899999999999998</v>
      </c>
    </row>
    <row r="56" spans="1:3" x14ac:dyDescent="0.2">
      <c r="A56" t="s">
        <v>33</v>
      </c>
      <c r="B56" t="s">
        <v>446</v>
      </c>
      <c r="C56">
        <v>1</v>
      </c>
    </row>
    <row r="57" spans="1:3" x14ac:dyDescent="0.2">
      <c r="A57" t="s">
        <v>34</v>
      </c>
      <c r="B57" t="s">
        <v>446</v>
      </c>
      <c r="C57">
        <v>0.91</v>
      </c>
    </row>
    <row r="58" spans="1:3" x14ac:dyDescent="0.2">
      <c r="A58" t="s">
        <v>43</v>
      </c>
      <c r="B58" t="s">
        <v>446</v>
      </c>
      <c r="C58">
        <v>0.79600000000000004</v>
      </c>
    </row>
    <row r="59" spans="1:3" x14ac:dyDescent="0.2">
      <c r="A59" t="s">
        <v>45</v>
      </c>
      <c r="B59" t="s">
        <v>446</v>
      </c>
      <c r="C59">
        <v>0.8</v>
      </c>
    </row>
    <row r="60" spans="1:3" x14ac:dyDescent="0.2">
      <c r="A60" t="s">
        <v>46</v>
      </c>
      <c r="B60" t="s">
        <v>446</v>
      </c>
      <c r="C60">
        <v>0.66700000000000004</v>
      </c>
    </row>
    <row r="61" spans="1:3" x14ac:dyDescent="0.2">
      <c r="A61" t="s">
        <v>47</v>
      </c>
      <c r="B61" t="s">
        <v>446</v>
      </c>
      <c r="C61">
        <v>1</v>
      </c>
    </row>
    <row r="62" spans="1:3" x14ac:dyDescent="0.2">
      <c r="A62" t="s">
        <v>48</v>
      </c>
      <c r="B62" t="s">
        <v>446</v>
      </c>
      <c r="C62">
        <v>0.73</v>
      </c>
    </row>
    <row r="63" spans="1:3" x14ac:dyDescent="0.2">
      <c r="A63" t="s">
        <v>44</v>
      </c>
      <c r="B63" t="s">
        <v>446</v>
      </c>
      <c r="C63">
        <v>0.52900000000000003</v>
      </c>
    </row>
    <row r="64" spans="1:3" x14ac:dyDescent="0.2">
      <c r="A64" t="s">
        <v>40</v>
      </c>
      <c r="B64" t="s">
        <v>818</v>
      </c>
      <c r="C64">
        <v>0.99399999999999999</v>
      </c>
    </row>
    <row r="65" spans="1:3" x14ac:dyDescent="0.2">
      <c r="A65" t="s">
        <v>41</v>
      </c>
      <c r="B65" t="s">
        <v>818</v>
      </c>
      <c r="C65">
        <v>0.28000000000000003</v>
      </c>
    </row>
    <row r="66" spans="1:3" x14ac:dyDescent="0.2">
      <c r="A66" t="s">
        <v>42</v>
      </c>
      <c r="B66" t="s">
        <v>818</v>
      </c>
      <c r="C66">
        <v>0.283687943</v>
      </c>
    </row>
    <row r="67" spans="1:3" x14ac:dyDescent="0.2">
      <c r="A67" t="s">
        <v>39</v>
      </c>
      <c r="B67" t="s">
        <v>818</v>
      </c>
      <c r="C67">
        <v>0.85709999999999997</v>
      </c>
    </row>
    <row r="68" spans="1:3" x14ac:dyDescent="0.2">
      <c r="A68" t="s">
        <v>35</v>
      </c>
      <c r="B68" t="s">
        <v>818</v>
      </c>
      <c r="C68">
        <v>0.44</v>
      </c>
    </row>
    <row r="69" spans="1:3" x14ac:dyDescent="0.2">
      <c r="A69" t="s">
        <v>36</v>
      </c>
      <c r="B69" t="s">
        <v>818</v>
      </c>
      <c r="C69">
        <v>0.88400000000000001</v>
      </c>
    </row>
    <row r="70" spans="1:3" x14ac:dyDescent="0.2">
      <c r="A70" t="s">
        <v>37</v>
      </c>
      <c r="B70" t="s">
        <v>818</v>
      </c>
      <c r="C70">
        <v>0.66669999999999996</v>
      </c>
    </row>
    <row r="71" spans="1:3" x14ac:dyDescent="0.2">
      <c r="A71" t="s">
        <v>38</v>
      </c>
      <c r="B71" t="s">
        <v>818</v>
      </c>
      <c r="C71">
        <v>0.42</v>
      </c>
    </row>
    <row r="72" spans="1:3" x14ac:dyDescent="0.2">
      <c r="A72" t="s">
        <v>33</v>
      </c>
      <c r="B72" t="s">
        <v>818</v>
      </c>
      <c r="C72">
        <v>1</v>
      </c>
    </row>
    <row r="73" spans="1:3" x14ac:dyDescent="0.2">
      <c r="A73" t="s">
        <v>34</v>
      </c>
      <c r="B73" t="s">
        <v>818</v>
      </c>
      <c r="C73">
        <v>0.91</v>
      </c>
    </row>
    <row r="74" spans="1:3" x14ac:dyDescent="0.2">
      <c r="A74" t="s">
        <v>43</v>
      </c>
      <c r="B74" t="s">
        <v>818</v>
      </c>
      <c r="C74">
        <v>0.8</v>
      </c>
    </row>
    <row r="75" spans="1:3" x14ac:dyDescent="0.2">
      <c r="A75" t="s">
        <v>45</v>
      </c>
      <c r="B75" t="s">
        <v>818</v>
      </c>
      <c r="C75">
        <v>0.8</v>
      </c>
    </row>
    <row r="76" spans="1:3" x14ac:dyDescent="0.2">
      <c r="A76" t="s">
        <v>46</v>
      </c>
      <c r="B76" t="s">
        <v>818</v>
      </c>
      <c r="C76">
        <v>0.66700000000000004</v>
      </c>
    </row>
    <row r="77" spans="1:3" x14ac:dyDescent="0.2">
      <c r="A77" t="s">
        <v>47</v>
      </c>
      <c r="B77" t="s">
        <v>818</v>
      </c>
      <c r="C77">
        <v>1</v>
      </c>
    </row>
    <row r="78" spans="1:3" x14ac:dyDescent="0.2">
      <c r="A78" t="s">
        <v>48</v>
      </c>
      <c r="B78" t="s">
        <v>818</v>
      </c>
      <c r="C78">
        <v>0.72699999999999998</v>
      </c>
    </row>
    <row r="79" spans="1:3" x14ac:dyDescent="0.2">
      <c r="A79" t="s">
        <v>44</v>
      </c>
      <c r="B79" t="s">
        <v>818</v>
      </c>
      <c r="C79">
        <v>0.37</v>
      </c>
    </row>
    <row r="80" spans="1:3" x14ac:dyDescent="0.2">
      <c r="A80" t="s">
        <v>40</v>
      </c>
      <c r="B80" t="s">
        <v>448</v>
      </c>
      <c r="C80">
        <v>0.94720000000000004</v>
      </c>
    </row>
    <row r="81" spans="1:3" x14ac:dyDescent="0.2">
      <c r="A81" t="s">
        <v>41</v>
      </c>
      <c r="B81" t="s">
        <v>448</v>
      </c>
      <c r="C81">
        <v>0.38900000000000001</v>
      </c>
    </row>
    <row r="82" spans="1:3" x14ac:dyDescent="0.2">
      <c r="A82" t="s">
        <v>42</v>
      </c>
      <c r="B82" t="s">
        <v>448</v>
      </c>
      <c r="C82">
        <v>0.18840599999999999</v>
      </c>
    </row>
    <row r="83" spans="1:3" x14ac:dyDescent="0.2">
      <c r="A83" t="s">
        <v>39</v>
      </c>
      <c r="B83" t="s">
        <v>448</v>
      </c>
      <c r="C83">
        <v>0.69230800000000003</v>
      </c>
    </row>
    <row r="84" spans="1:3" x14ac:dyDescent="0.2">
      <c r="A84" t="s">
        <v>35</v>
      </c>
      <c r="B84" t="s">
        <v>448</v>
      </c>
      <c r="C84">
        <v>0.2276</v>
      </c>
    </row>
    <row r="85" spans="1:3" x14ac:dyDescent="0.2">
      <c r="A85" t="s">
        <v>36</v>
      </c>
      <c r="B85" t="s">
        <v>448</v>
      </c>
      <c r="C85">
        <v>9.0909000000000004E-2</v>
      </c>
    </row>
    <row r="86" spans="1:3" x14ac:dyDescent="0.2">
      <c r="A86" t="s">
        <v>37</v>
      </c>
      <c r="B86" t="s">
        <v>448</v>
      </c>
      <c r="C86">
        <v>2.1052999999999999E-2</v>
      </c>
    </row>
    <row r="87" spans="1:3" x14ac:dyDescent="0.2">
      <c r="A87" t="s">
        <v>38</v>
      </c>
      <c r="B87" t="s">
        <v>448</v>
      </c>
      <c r="C87">
        <v>7.0795999999999998E-2</v>
      </c>
    </row>
    <row r="88" spans="1:3" x14ac:dyDescent="0.2">
      <c r="A88" t="s">
        <v>33</v>
      </c>
      <c r="B88" t="s">
        <v>448</v>
      </c>
      <c r="C88">
        <v>1.2330000000000001E-2</v>
      </c>
    </row>
    <row r="89" spans="1:3" x14ac:dyDescent="0.2">
      <c r="A89" t="s">
        <v>34</v>
      </c>
      <c r="B89" t="s">
        <v>448</v>
      </c>
      <c r="C89">
        <v>2.5500000000000002E-3</v>
      </c>
    </row>
    <row r="90" spans="1:3" x14ac:dyDescent="0.2">
      <c r="A90" t="s">
        <v>43</v>
      </c>
      <c r="B90" t="s">
        <v>448</v>
      </c>
      <c r="C90">
        <v>0.2</v>
      </c>
    </row>
    <row r="91" spans="1:3" x14ac:dyDescent="0.2">
      <c r="A91" t="s">
        <v>45</v>
      </c>
      <c r="B91" t="s">
        <v>448</v>
      </c>
      <c r="C91">
        <v>0.125</v>
      </c>
    </row>
    <row r="92" spans="1:3" x14ac:dyDescent="0.2">
      <c r="A92" t="s">
        <v>46</v>
      </c>
      <c r="B92" t="s">
        <v>448</v>
      </c>
      <c r="C92">
        <v>4.2944999999999997E-2</v>
      </c>
    </row>
    <row r="93" spans="1:3" x14ac:dyDescent="0.2">
      <c r="A93" t="s">
        <v>47</v>
      </c>
      <c r="B93" t="s">
        <v>448</v>
      </c>
      <c r="C93">
        <v>7.9469999999999999E-2</v>
      </c>
    </row>
    <row r="94" spans="1:3" x14ac:dyDescent="0.2">
      <c r="A94" t="s">
        <v>48</v>
      </c>
      <c r="B94" t="s">
        <v>448</v>
      </c>
      <c r="C94">
        <v>2.5586000000000001E-2</v>
      </c>
    </row>
    <row r="95" spans="1:3" x14ac:dyDescent="0.2">
      <c r="A95" t="s">
        <v>44</v>
      </c>
      <c r="B95" t="s">
        <v>448</v>
      </c>
      <c r="C95">
        <v>0.1416</v>
      </c>
    </row>
    <row r="96" spans="1:3" x14ac:dyDescent="0.2">
      <c r="A96" t="s">
        <v>40</v>
      </c>
      <c r="B96" t="s">
        <v>449</v>
      </c>
      <c r="C96">
        <v>0.70588235294117596</v>
      </c>
    </row>
    <row r="97" spans="1:3" x14ac:dyDescent="0.2">
      <c r="A97" t="s">
        <v>41</v>
      </c>
      <c r="B97" t="s">
        <v>449</v>
      </c>
      <c r="C97">
        <v>0.437</v>
      </c>
    </row>
    <row r="98" spans="1:3" x14ac:dyDescent="0.2">
      <c r="A98" t="s">
        <v>42</v>
      </c>
      <c r="B98" t="s">
        <v>449</v>
      </c>
      <c r="C98">
        <v>0.25196850393700798</v>
      </c>
    </row>
    <row r="99" spans="1:3" x14ac:dyDescent="0.2">
      <c r="A99" t="s">
        <v>39</v>
      </c>
      <c r="B99" t="s">
        <v>449</v>
      </c>
      <c r="C99">
        <v>0.52631578947368396</v>
      </c>
    </row>
    <row r="100" spans="1:3" x14ac:dyDescent="0.2">
      <c r="A100" t="s">
        <v>35</v>
      </c>
      <c r="B100" t="s">
        <v>449</v>
      </c>
      <c r="C100">
        <v>0.38</v>
      </c>
    </row>
    <row r="101" spans="1:3" x14ac:dyDescent="0.2">
      <c r="A101" t="s">
        <v>36</v>
      </c>
      <c r="B101" t="s">
        <v>449</v>
      </c>
      <c r="C101">
        <v>0.79487179487179505</v>
      </c>
    </row>
    <row r="102" spans="1:3" x14ac:dyDescent="0.2">
      <c r="A102" t="s">
        <v>37</v>
      </c>
      <c r="B102" t="s">
        <v>449</v>
      </c>
      <c r="C102">
        <v>0.66669999999999996</v>
      </c>
    </row>
    <row r="103" spans="1:3" x14ac:dyDescent="0.2">
      <c r="A103" t="s">
        <v>38</v>
      </c>
      <c r="B103" t="s">
        <v>449</v>
      </c>
      <c r="C103">
        <v>0.375</v>
      </c>
    </row>
    <row r="104" spans="1:3" x14ac:dyDescent="0.2">
      <c r="A104" t="s">
        <v>33</v>
      </c>
      <c r="B104" t="s">
        <v>449</v>
      </c>
      <c r="C104">
        <v>0.28571000000000002</v>
      </c>
    </row>
    <row r="105" spans="1:3" x14ac:dyDescent="0.2">
      <c r="A105" t="s">
        <v>34</v>
      </c>
      <c r="B105" t="s">
        <v>449</v>
      </c>
      <c r="C105">
        <v>0.66666666699999999</v>
      </c>
    </row>
    <row r="106" spans="1:3" x14ac:dyDescent="0.2">
      <c r="A106" t="s">
        <v>43</v>
      </c>
      <c r="B106" t="s">
        <v>449</v>
      </c>
      <c r="C106">
        <v>0</v>
      </c>
    </row>
    <row r="107" spans="1:3" x14ac:dyDescent="0.2">
      <c r="A107" t="s">
        <v>45</v>
      </c>
      <c r="B107" t="s">
        <v>449</v>
      </c>
      <c r="C107">
        <v>0.8</v>
      </c>
    </row>
    <row r="108" spans="1:3" x14ac:dyDescent="0.2">
      <c r="A108" t="s">
        <v>46</v>
      </c>
      <c r="B108" t="s">
        <v>449</v>
      </c>
      <c r="C108">
        <v>0.6</v>
      </c>
    </row>
    <row r="109" spans="1:3" x14ac:dyDescent="0.2">
      <c r="A109" t="s">
        <v>47</v>
      </c>
      <c r="B109" t="s">
        <v>449</v>
      </c>
      <c r="C109">
        <v>1</v>
      </c>
    </row>
    <row r="110" spans="1:3" x14ac:dyDescent="0.2">
      <c r="A110" t="s">
        <v>48</v>
      </c>
      <c r="B110" t="s">
        <v>449</v>
      </c>
      <c r="C110">
        <v>0.69565217391304301</v>
      </c>
    </row>
    <row r="111" spans="1:3" x14ac:dyDescent="0.2">
      <c r="A111" t="s">
        <v>44</v>
      </c>
      <c r="B111" t="s">
        <v>449</v>
      </c>
      <c r="C111">
        <v>0.333135274311745</v>
      </c>
    </row>
    <row r="112" spans="1:3" x14ac:dyDescent="0.2">
      <c r="A112" t="s">
        <v>40</v>
      </c>
      <c r="B112" t="s">
        <v>819</v>
      </c>
      <c r="C112">
        <v>0.96</v>
      </c>
    </row>
    <row r="113" spans="1:3" x14ac:dyDescent="0.2">
      <c r="A113" s="35" t="s">
        <v>41</v>
      </c>
      <c r="B113" t="s">
        <v>819</v>
      </c>
      <c r="C113">
        <v>0.11</v>
      </c>
    </row>
    <row r="114" spans="1:3" x14ac:dyDescent="0.2">
      <c r="A114" s="35" t="s">
        <v>42</v>
      </c>
      <c r="B114" t="s">
        <v>819</v>
      </c>
      <c r="C114">
        <v>0.22</v>
      </c>
    </row>
    <row r="115" spans="1:3" x14ac:dyDescent="0.2">
      <c r="A115" t="s">
        <v>39</v>
      </c>
      <c r="B115" t="s">
        <v>819</v>
      </c>
      <c r="C115">
        <v>0.86</v>
      </c>
    </row>
    <row r="116" spans="1:3" x14ac:dyDescent="0.2">
      <c r="A116" t="s">
        <v>35</v>
      </c>
      <c r="B116" t="s">
        <v>819</v>
      </c>
      <c r="C116">
        <v>0.35</v>
      </c>
    </row>
    <row r="117" spans="1:3" x14ac:dyDescent="0.2">
      <c r="A117" s="35" t="s">
        <v>36</v>
      </c>
      <c r="B117" t="s">
        <v>819</v>
      </c>
      <c r="C117">
        <v>0.77</v>
      </c>
    </row>
    <row r="118" spans="1:3" x14ac:dyDescent="0.2">
      <c r="A118" s="35" t="s">
        <v>37</v>
      </c>
      <c r="B118" t="s">
        <v>819</v>
      </c>
      <c r="C118">
        <v>0.67</v>
      </c>
    </row>
    <row r="119" spans="1:3" x14ac:dyDescent="0.2">
      <c r="A119" s="35" t="s">
        <v>38</v>
      </c>
      <c r="B119" t="s">
        <v>819</v>
      </c>
      <c r="C119">
        <v>0.36</v>
      </c>
    </row>
    <row r="120" spans="1:3" x14ac:dyDescent="0.2">
      <c r="A120" t="s">
        <v>33</v>
      </c>
      <c r="B120" t="s">
        <v>819</v>
      </c>
      <c r="C120">
        <v>1</v>
      </c>
    </row>
    <row r="121" spans="1:3" x14ac:dyDescent="0.2">
      <c r="A121" s="35" t="s">
        <v>34</v>
      </c>
      <c r="B121" t="s">
        <v>819</v>
      </c>
      <c r="C121">
        <v>0.91</v>
      </c>
    </row>
    <row r="122" spans="1:3" x14ac:dyDescent="0.2">
      <c r="A122" t="s">
        <v>43</v>
      </c>
      <c r="B122" t="s">
        <v>819</v>
      </c>
      <c r="C122">
        <v>0.78</v>
      </c>
    </row>
    <row r="123" spans="1:3" x14ac:dyDescent="0.2">
      <c r="A123" t="s">
        <v>45</v>
      </c>
      <c r="B123" t="s">
        <v>819</v>
      </c>
      <c r="C123">
        <v>0.8</v>
      </c>
    </row>
    <row r="124" spans="1:3" x14ac:dyDescent="0.2">
      <c r="A124" t="s">
        <v>46</v>
      </c>
      <c r="B124" t="s">
        <v>819</v>
      </c>
      <c r="C124">
        <v>0.63</v>
      </c>
    </row>
    <row r="125" spans="1:3" x14ac:dyDescent="0.2">
      <c r="A125" t="s">
        <v>47</v>
      </c>
      <c r="B125" t="s">
        <v>819</v>
      </c>
      <c r="C125">
        <v>1</v>
      </c>
    </row>
    <row r="126" spans="1:3" x14ac:dyDescent="0.2">
      <c r="A126" t="s">
        <v>48</v>
      </c>
      <c r="B126" t="s">
        <v>819</v>
      </c>
      <c r="C126">
        <v>0.67</v>
      </c>
    </row>
    <row r="127" spans="1:3" x14ac:dyDescent="0.2">
      <c r="A127" s="35" t="s">
        <v>44</v>
      </c>
      <c r="B127" t="s">
        <v>819</v>
      </c>
      <c r="C127">
        <v>0.32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7"/>
  <sheetViews>
    <sheetView topLeftCell="A62" zoomScale="159" workbookViewId="0">
      <selection activeCell="C68" sqref="C68"/>
    </sheetView>
  </sheetViews>
  <sheetFormatPr baseColWidth="10" defaultColWidth="8.83203125" defaultRowHeight="15" x14ac:dyDescent="0.2"/>
  <cols>
    <col min="1" max="1" width="22.6640625" customWidth="1"/>
    <col min="2" max="2" width="21" customWidth="1"/>
    <col min="3" max="3" width="20" customWidth="1"/>
    <col min="6" max="6" width="16.5" customWidth="1"/>
  </cols>
  <sheetData>
    <row r="1" spans="1:3" x14ac:dyDescent="0.2">
      <c r="A1" t="s">
        <v>0</v>
      </c>
      <c r="B1" t="s">
        <v>441</v>
      </c>
      <c r="C1" t="s">
        <v>450</v>
      </c>
    </row>
    <row r="2" spans="1:3" x14ac:dyDescent="0.2">
      <c r="A2" t="s">
        <v>40</v>
      </c>
      <c r="B2" t="s">
        <v>443</v>
      </c>
      <c r="C2">
        <v>742.88</v>
      </c>
    </row>
    <row r="3" spans="1:3" x14ac:dyDescent="0.2">
      <c r="A3" t="s">
        <v>41</v>
      </c>
      <c r="B3" t="s">
        <v>443</v>
      </c>
      <c r="C3">
        <v>1436.8</v>
      </c>
    </row>
    <row r="4" spans="1:3" x14ac:dyDescent="0.2">
      <c r="A4" t="s">
        <v>42</v>
      </c>
      <c r="B4" t="s">
        <v>443</v>
      </c>
      <c r="C4">
        <v>3135.52</v>
      </c>
    </row>
    <row r="5" spans="1:3" x14ac:dyDescent="0.2">
      <c r="A5" t="s">
        <v>39</v>
      </c>
      <c r="B5" t="s">
        <v>443</v>
      </c>
      <c r="C5">
        <v>1239</v>
      </c>
    </row>
    <row r="6" spans="1:3" x14ac:dyDescent="0.2">
      <c r="A6" t="s">
        <v>35</v>
      </c>
      <c r="B6" t="s">
        <v>443</v>
      </c>
      <c r="C6">
        <v>93.18</v>
      </c>
    </row>
    <row r="7" spans="1:3" x14ac:dyDescent="0.2">
      <c r="A7" t="s">
        <v>36</v>
      </c>
      <c r="B7" t="s">
        <v>443</v>
      </c>
      <c r="C7">
        <v>5000.1000000000004</v>
      </c>
    </row>
    <row r="8" spans="1:3" x14ac:dyDescent="0.2">
      <c r="A8" t="s">
        <v>37</v>
      </c>
      <c r="B8" t="s">
        <v>443</v>
      </c>
      <c r="C8">
        <v>3261</v>
      </c>
    </row>
    <row r="9" spans="1:3" x14ac:dyDescent="0.2">
      <c r="A9" t="s">
        <v>38</v>
      </c>
      <c r="B9" t="s">
        <v>443</v>
      </c>
      <c r="C9">
        <v>5871.1</v>
      </c>
    </row>
    <row r="10" spans="1:3" x14ac:dyDescent="0.2">
      <c r="A10" t="s">
        <v>33</v>
      </c>
      <c r="B10" t="s">
        <v>443</v>
      </c>
      <c r="C10">
        <v>107.6</v>
      </c>
    </row>
    <row r="11" spans="1:3" x14ac:dyDescent="0.2">
      <c r="A11" t="s">
        <v>34</v>
      </c>
      <c r="B11" t="s">
        <v>443</v>
      </c>
      <c r="C11">
        <v>1923.78</v>
      </c>
    </row>
    <row r="12" spans="1:3" x14ac:dyDescent="0.2">
      <c r="A12" t="s">
        <v>43</v>
      </c>
      <c r="B12" t="s">
        <v>443</v>
      </c>
      <c r="C12">
        <v>40.22</v>
      </c>
    </row>
    <row r="13" spans="1:3" x14ac:dyDescent="0.2">
      <c r="A13" t="s">
        <v>45</v>
      </c>
      <c r="B13" t="s">
        <v>443</v>
      </c>
      <c r="C13">
        <v>1.42</v>
      </c>
    </row>
    <row r="14" spans="1:3" x14ac:dyDescent="0.2">
      <c r="A14" t="s">
        <v>46</v>
      </c>
      <c r="B14" t="s">
        <v>443</v>
      </c>
      <c r="C14">
        <v>6.33</v>
      </c>
    </row>
    <row r="15" spans="1:3" x14ac:dyDescent="0.2">
      <c r="A15" t="s">
        <v>47</v>
      </c>
      <c r="B15" t="s">
        <v>443</v>
      </c>
      <c r="C15">
        <v>2.46</v>
      </c>
    </row>
    <row r="16" spans="1:3" x14ac:dyDescent="0.2">
      <c r="A16" t="s">
        <v>48</v>
      </c>
      <c r="B16" t="s">
        <v>443</v>
      </c>
      <c r="C16">
        <v>9.5500000000000007</v>
      </c>
    </row>
    <row r="17" spans="1:3" x14ac:dyDescent="0.2">
      <c r="A17" t="s">
        <v>44</v>
      </c>
      <c r="B17" t="s">
        <v>443</v>
      </c>
      <c r="C17">
        <v>124.8</v>
      </c>
    </row>
    <row r="18" spans="1:3" x14ac:dyDescent="0.2">
      <c r="A18" t="s">
        <v>40</v>
      </c>
      <c r="B18" t="s">
        <v>444</v>
      </c>
      <c r="C18">
        <v>196</v>
      </c>
    </row>
    <row r="19" spans="1:3" x14ac:dyDescent="0.2">
      <c r="A19" t="s">
        <v>41</v>
      </c>
      <c r="B19" t="s">
        <v>444</v>
      </c>
      <c r="C19">
        <v>2606.4</v>
      </c>
    </row>
    <row r="20" spans="1:3" x14ac:dyDescent="0.2">
      <c r="A20" t="s">
        <v>42</v>
      </c>
      <c r="B20" t="s">
        <v>444</v>
      </c>
      <c r="C20">
        <v>4172</v>
      </c>
    </row>
    <row r="21" spans="1:3" x14ac:dyDescent="0.2">
      <c r="A21" t="s">
        <v>39</v>
      </c>
      <c r="B21" t="s">
        <v>444</v>
      </c>
    </row>
    <row r="22" spans="1:3" x14ac:dyDescent="0.2">
      <c r="A22" t="s">
        <v>35</v>
      </c>
      <c r="B22" t="s">
        <v>444</v>
      </c>
    </row>
    <row r="23" spans="1:3" x14ac:dyDescent="0.2">
      <c r="A23" t="s">
        <v>36</v>
      </c>
      <c r="B23" t="s">
        <v>444</v>
      </c>
      <c r="C23">
        <v>5310.21</v>
      </c>
    </row>
    <row r="24" spans="1:3" x14ac:dyDescent="0.2">
      <c r="A24" t="s">
        <v>37</v>
      </c>
      <c r="B24" t="s">
        <v>444</v>
      </c>
      <c r="C24">
        <v>732</v>
      </c>
    </row>
    <row r="25" spans="1:3" x14ac:dyDescent="0.2">
      <c r="A25" t="s">
        <v>38</v>
      </c>
      <c r="B25" t="s">
        <v>444</v>
      </c>
      <c r="C25">
        <v>6580.7</v>
      </c>
    </row>
    <row r="26" spans="1:3" x14ac:dyDescent="0.2">
      <c r="A26" t="s">
        <v>33</v>
      </c>
      <c r="B26" t="s">
        <v>444</v>
      </c>
      <c r="C26">
        <v>50.96</v>
      </c>
    </row>
    <row r="27" spans="1:3" x14ac:dyDescent="0.2">
      <c r="A27" t="s">
        <v>34</v>
      </c>
      <c r="B27" t="s">
        <v>444</v>
      </c>
      <c r="C27">
        <v>188.6</v>
      </c>
    </row>
    <row r="28" spans="1:3" x14ac:dyDescent="0.2">
      <c r="A28" t="s">
        <v>43</v>
      </c>
      <c r="B28" t="s">
        <v>444</v>
      </c>
      <c r="C28">
        <v>71.95</v>
      </c>
    </row>
    <row r="29" spans="1:3" x14ac:dyDescent="0.2">
      <c r="A29" t="s">
        <v>45</v>
      </c>
      <c r="B29" t="s">
        <v>444</v>
      </c>
    </row>
    <row r="30" spans="1:3" x14ac:dyDescent="0.2">
      <c r="A30" t="s">
        <v>46</v>
      </c>
      <c r="B30" t="s">
        <v>444</v>
      </c>
      <c r="C30">
        <v>6.01</v>
      </c>
    </row>
    <row r="31" spans="1:3" x14ac:dyDescent="0.2">
      <c r="A31" t="s">
        <v>47</v>
      </c>
      <c r="B31" t="s">
        <v>444</v>
      </c>
      <c r="C31">
        <v>0.873</v>
      </c>
    </row>
    <row r="32" spans="1:3" x14ac:dyDescent="0.2">
      <c r="A32" t="s">
        <v>48</v>
      </c>
      <c r="B32" t="s">
        <v>444</v>
      </c>
      <c r="C32">
        <v>4.82</v>
      </c>
    </row>
    <row r="33" spans="1:4" x14ac:dyDescent="0.2">
      <c r="A33" t="s">
        <v>44</v>
      </c>
      <c r="B33" t="s">
        <v>444</v>
      </c>
      <c r="C33">
        <v>25</v>
      </c>
    </row>
    <row r="34" spans="1:4" x14ac:dyDescent="0.2">
      <c r="A34" t="s">
        <v>40</v>
      </c>
      <c r="B34" t="s">
        <v>445</v>
      </c>
      <c r="C34">
        <v>82.56</v>
      </c>
    </row>
    <row r="35" spans="1:4" x14ac:dyDescent="0.2">
      <c r="A35" t="s">
        <v>41</v>
      </c>
      <c r="B35" t="s">
        <v>445</v>
      </c>
      <c r="C35">
        <v>4716</v>
      </c>
    </row>
    <row r="36" spans="1:4" x14ac:dyDescent="0.2">
      <c r="A36" t="s">
        <v>42</v>
      </c>
      <c r="B36" t="s">
        <v>445</v>
      </c>
      <c r="C36">
        <v>17936.840641021601</v>
      </c>
    </row>
    <row r="37" spans="1:4" x14ac:dyDescent="0.2">
      <c r="A37" t="s">
        <v>39</v>
      </c>
      <c r="B37" t="s">
        <v>445</v>
      </c>
      <c r="C37">
        <v>3239.7</v>
      </c>
    </row>
    <row r="38" spans="1:4" x14ac:dyDescent="0.2">
      <c r="A38" t="s">
        <v>36</v>
      </c>
      <c r="B38" t="s">
        <v>445</v>
      </c>
      <c r="C38">
        <v>3640.87</v>
      </c>
    </row>
    <row r="39" spans="1:4" x14ac:dyDescent="0.2">
      <c r="A39" t="s">
        <v>37</v>
      </c>
      <c r="B39" t="s">
        <v>445</v>
      </c>
      <c r="C39">
        <v>1501.7</v>
      </c>
    </row>
    <row r="40" spans="1:4" x14ac:dyDescent="0.2">
      <c r="A40" t="s">
        <v>38</v>
      </c>
      <c r="B40" t="s">
        <v>445</v>
      </c>
      <c r="C40">
        <v>37651.4</v>
      </c>
    </row>
    <row r="41" spans="1:4" x14ac:dyDescent="0.2">
      <c r="A41" t="s">
        <v>33</v>
      </c>
      <c r="B41" t="s">
        <v>445</v>
      </c>
      <c r="C41">
        <v>1349.28</v>
      </c>
    </row>
    <row r="42" spans="1:4" x14ac:dyDescent="0.2">
      <c r="A42" t="s">
        <v>34</v>
      </c>
      <c r="B42" t="s">
        <v>445</v>
      </c>
      <c r="C42">
        <v>4947.6899999999996</v>
      </c>
    </row>
    <row r="43" spans="1:4" x14ac:dyDescent="0.2">
      <c r="A43" t="s">
        <v>43</v>
      </c>
      <c r="B43" t="s">
        <v>445</v>
      </c>
      <c r="C43">
        <v>267.55</v>
      </c>
    </row>
    <row r="44" spans="1:4" x14ac:dyDescent="0.2">
      <c r="A44" t="s">
        <v>45</v>
      </c>
      <c r="B44" t="s">
        <v>445</v>
      </c>
      <c r="C44">
        <v>31.2</v>
      </c>
    </row>
    <row r="45" spans="1:4" x14ac:dyDescent="0.2">
      <c r="A45" t="s">
        <v>46</v>
      </c>
      <c r="B45" t="s">
        <v>445</v>
      </c>
      <c r="C45">
        <v>284.27</v>
      </c>
    </row>
    <row r="46" spans="1:4" x14ac:dyDescent="0.2">
      <c r="A46" t="s">
        <v>47</v>
      </c>
      <c r="B46" t="s">
        <v>445</v>
      </c>
      <c r="C46">
        <v>38.119999999999997</v>
      </c>
    </row>
    <row r="47" spans="1:4" x14ac:dyDescent="0.2">
      <c r="A47" t="s">
        <v>48</v>
      </c>
      <c r="B47" t="s">
        <v>445</v>
      </c>
      <c r="C47">
        <v>211.8313</v>
      </c>
    </row>
    <row r="48" spans="1:4" x14ac:dyDescent="0.2">
      <c r="A48" t="s">
        <v>40</v>
      </c>
      <c r="B48" t="s">
        <v>446</v>
      </c>
      <c r="C48">
        <v>834.88</v>
      </c>
      <c r="D48" s="5"/>
    </row>
    <row r="49" spans="1:7" x14ac:dyDescent="0.2">
      <c r="A49" t="s">
        <v>41</v>
      </c>
      <c r="B49" t="s">
        <v>446</v>
      </c>
      <c r="C49">
        <v>1579.68</v>
      </c>
      <c r="D49" s="5"/>
    </row>
    <row r="50" spans="1:7" x14ac:dyDescent="0.2">
      <c r="A50" t="s">
        <v>42</v>
      </c>
      <c r="B50" t="s">
        <v>446</v>
      </c>
      <c r="C50">
        <v>7520</v>
      </c>
      <c r="D50" s="5"/>
    </row>
    <row r="51" spans="1:7" x14ac:dyDescent="0.2">
      <c r="A51" t="s">
        <v>39</v>
      </c>
      <c r="B51" t="s">
        <v>446</v>
      </c>
      <c r="C51">
        <v>1417.92</v>
      </c>
      <c r="D51" s="5"/>
    </row>
    <row r="52" spans="1:7" x14ac:dyDescent="0.2">
      <c r="A52" t="s">
        <v>35</v>
      </c>
      <c r="B52" t="s">
        <v>446</v>
      </c>
      <c r="C52">
        <v>128.69999999999999</v>
      </c>
      <c r="D52" s="5"/>
    </row>
    <row r="53" spans="1:7" x14ac:dyDescent="0.2">
      <c r="A53" t="s">
        <v>36</v>
      </c>
      <c r="B53" t="s">
        <v>446</v>
      </c>
      <c r="C53">
        <v>5439.94</v>
      </c>
      <c r="D53" s="5"/>
    </row>
    <row r="54" spans="1:7" x14ac:dyDescent="0.2">
      <c r="A54" t="s">
        <v>37</v>
      </c>
      <c r="B54" t="s">
        <v>446</v>
      </c>
      <c r="C54">
        <v>4160</v>
      </c>
      <c r="D54" s="5"/>
    </row>
    <row r="55" spans="1:7" x14ac:dyDescent="0.2">
      <c r="A55" t="s">
        <v>38</v>
      </c>
      <c r="B55" t="s">
        <v>446</v>
      </c>
      <c r="C55">
        <v>6399</v>
      </c>
      <c r="D55" s="5"/>
    </row>
    <row r="56" spans="1:7" x14ac:dyDescent="0.2">
      <c r="A56" t="s">
        <v>33</v>
      </c>
      <c r="B56" t="s">
        <v>446</v>
      </c>
      <c r="C56">
        <v>188</v>
      </c>
      <c r="D56" s="5"/>
    </row>
    <row r="57" spans="1:7" x14ac:dyDescent="0.2">
      <c r="A57" t="s">
        <v>34</v>
      </c>
      <c r="B57" t="s">
        <v>446</v>
      </c>
      <c r="C57">
        <v>4630.08</v>
      </c>
      <c r="D57" s="5"/>
    </row>
    <row r="58" spans="1:7" x14ac:dyDescent="0.2">
      <c r="A58" t="s">
        <v>43</v>
      </c>
      <c r="B58" t="s">
        <v>446</v>
      </c>
      <c r="C58">
        <v>55.43</v>
      </c>
      <c r="D58" s="5"/>
    </row>
    <row r="59" spans="1:7" x14ac:dyDescent="0.2">
      <c r="A59" t="s">
        <v>45</v>
      </c>
      <c r="B59" t="s">
        <v>446</v>
      </c>
      <c r="C59">
        <v>1.91</v>
      </c>
      <c r="D59" s="5"/>
    </row>
    <row r="60" spans="1:7" x14ac:dyDescent="0.2">
      <c r="A60" t="s">
        <v>46</v>
      </c>
      <c r="B60" t="s">
        <v>446</v>
      </c>
      <c r="C60">
        <v>4.4000000000000004</v>
      </c>
      <c r="D60" s="5"/>
    </row>
    <row r="61" spans="1:7" x14ac:dyDescent="0.2">
      <c r="A61" t="s">
        <v>47</v>
      </c>
      <c r="B61" t="s">
        <v>446</v>
      </c>
      <c r="C61">
        <v>1.48</v>
      </c>
      <c r="D61" s="5"/>
    </row>
    <row r="62" spans="1:7" x14ac:dyDescent="0.2">
      <c r="A62" t="s">
        <v>48</v>
      </c>
      <c r="B62" t="s">
        <v>446</v>
      </c>
      <c r="C62">
        <v>6.1</v>
      </c>
      <c r="D62" s="5"/>
    </row>
    <row r="63" spans="1:7" x14ac:dyDescent="0.2">
      <c r="A63" t="s">
        <v>44</v>
      </c>
      <c r="B63" t="s">
        <v>446</v>
      </c>
      <c r="C63">
        <v>152.31</v>
      </c>
      <c r="D63" s="5"/>
    </row>
    <row r="64" spans="1:7" x14ac:dyDescent="0.2">
      <c r="A64" t="s">
        <v>40</v>
      </c>
      <c r="B64" t="s">
        <v>818</v>
      </c>
      <c r="C64">
        <v>91.112805395051325</v>
      </c>
      <c r="D64">
        <v>834.88</v>
      </c>
      <c r="E64">
        <f t="shared" ref="E64:E95" si="0">D64/C64</f>
        <v>9.1631466771337653</v>
      </c>
      <c r="G64" s="18"/>
    </row>
    <row r="65" spans="1:7" s="35" customFormat="1" x14ac:dyDescent="0.2">
      <c r="A65" s="35" t="s">
        <v>41</v>
      </c>
      <c r="B65" t="s">
        <v>818</v>
      </c>
      <c r="C65" s="35">
        <v>108.24850411398501</v>
      </c>
      <c r="D65" s="35">
        <v>1579.68</v>
      </c>
      <c r="E65" s="35">
        <f t="shared" si="0"/>
        <v>14.593088495122361</v>
      </c>
      <c r="G65" s="37"/>
    </row>
    <row r="66" spans="1:7" s="35" customFormat="1" x14ac:dyDescent="0.2">
      <c r="A66" s="35" t="s">
        <v>42</v>
      </c>
      <c r="B66" t="s">
        <v>818</v>
      </c>
      <c r="C66" s="35">
        <v>95.695273475062066</v>
      </c>
      <c r="D66" s="35">
        <v>7520</v>
      </c>
      <c r="E66" s="35">
        <f t="shared" si="0"/>
        <v>78.582773494656365</v>
      </c>
      <c r="G66" s="37"/>
    </row>
    <row r="67" spans="1:7" x14ac:dyDescent="0.2">
      <c r="A67" t="s">
        <v>39</v>
      </c>
      <c r="B67" t="s">
        <v>818</v>
      </c>
      <c r="C67">
        <v>124.60135218488955</v>
      </c>
      <c r="D67">
        <v>1417.92</v>
      </c>
      <c r="E67">
        <f t="shared" si="0"/>
        <v>11.379651786571475</v>
      </c>
      <c r="G67" s="18"/>
    </row>
    <row r="68" spans="1:7" x14ac:dyDescent="0.2">
      <c r="A68" t="s">
        <v>35</v>
      </c>
      <c r="B68" t="s">
        <v>818</v>
      </c>
      <c r="C68">
        <v>108.649473578662</v>
      </c>
      <c r="D68">
        <v>128.69999999999999</v>
      </c>
      <c r="E68">
        <f t="shared" si="0"/>
        <v>1.1845432449962259</v>
      </c>
      <c r="G68" s="18"/>
    </row>
    <row r="69" spans="1:7" s="35" customFormat="1" x14ac:dyDescent="0.2">
      <c r="A69" s="35" t="s">
        <v>36</v>
      </c>
      <c r="B69" t="s">
        <v>818</v>
      </c>
      <c r="C69" s="35">
        <v>81.512873187651124</v>
      </c>
      <c r="D69" s="35">
        <v>5439.94</v>
      </c>
      <c r="E69" s="35">
        <f t="shared" si="0"/>
        <v>66.737188707318552</v>
      </c>
      <c r="G69" s="37"/>
    </row>
    <row r="70" spans="1:7" s="35" customFormat="1" x14ac:dyDescent="0.2">
      <c r="A70" s="35" t="s">
        <v>37</v>
      </c>
      <c r="B70" t="s">
        <v>818</v>
      </c>
      <c r="C70" s="35">
        <v>52.918784265196152</v>
      </c>
      <c r="D70" s="35">
        <v>4160</v>
      </c>
      <c r="E70" s="35">
        <f t="shared" si="0"/>
        <v>78.61102740290967</v>
      </c>
      <c r="G70" s="37"/>
    </row>
    <row r="71" spans="1:7" s="35" customFormat="1" x14ac:dyDescent="0.2">
      <c r="A71" s="35" t="s">
        <v>38</v>
      </c>
      <c r="B71" t="s">
        <v>818</v>
      </c>
      <c r="C71" s="35">
        <v>168.68797368357087</v>
      </c>
      <c r="D71" s="35">
        <v>6399</v>
      </c>
      <c r="E71" s="35">
        <f t="shared" si="0"/>
        <v>37.933943127465653</v>
      </c>
      <c r="G71" s="37"/>
    </row>
    <row r="72" spans="1:7" x14ac:dyDescent="0.2">
      <c r="A72" t="s">
        <v>33</v>
      </c>
      <c r="B72" t="s">
        <v>818</v>
      </c>
      <c r="C72">
        <v>18.24503312271256</v>
      </c>
      <c r="D72">
        <v>188</v>
      </c>
      <c r="E72">
        <f t="shared" si="0"/>
        <v>10.304174222954183</v>
      </c>
      <c r="G72" s="18"/>
    </row>
    <row r="73" spans="1:7" s="35" customFormat="1" x14ac:dyDescent="0.2">
      <c r="A73" s="35" t="s">
        <v>34</v>
      </c>
      <c r="B73" t="s">
        <v>818</v>
      </c>
      <c r="C73" s="35">
        <v>57.072760645745426</v>
      </c>
      <c r="D73" s="35">
        <v>4630.08</v>
      </c>
      <c r="E73" s="35">
        <f t="shared" si="0"/>
        <v>81.125916244690302</v>
      </c>
      <c r="G73" s="37"/>
    </row>
    <row r="74" spans="1:7" x14ac:dyDescent="0.2">
      <c r="A74" t="s">
        <v>43</v>
      </c>
      <c r="B74" t="s">
        <v>818</v>
      </c>
      <c r="C74">
        <v>6.4040322034384696</v>
      </c>
      <c r="D74">
        <v>55.43</v>
      </c>
      <c r="E74">
        <f t="shared" si="0"/>
        <v>8.6554842697759042</v>
      </c>
      <c r="G74" s="18"/>
    </row>
    <row r="75" spans="1:7" x14ac:dyDescent="0.2">
      <c r="A75" t="s">
        <v>45</v>
      </c>
      <c r="B75" t="s">
        <v>818</v>
      </c>
      <c r="C75">
        <v>0.43494731543846404</v>
      </c>
      <c r="D75">
        <v>1.91</v>
      </c>
      <c r="E75">
        <f t="shared" si="0"/>
        <v>4.3913364497365777</v>
      </c>
      <c r="G75" s="18"/>
    </row>
    <row r="76" spans="1:7" x14ac:dyDescent="0.2">
      <c r="A76" t="s">
        <v>46</v>
      </c>
      <c r="B76" t="s">
        <v>818</v>
      </c>
      <c r="C76">
        <v>1.0327680128012011</v>
      </c>
      <c r="D76">
        <v>4.4000000000000004</v>
      </c>
      <c r="E76">
        <f t="shared" si="0"/>
        <v>4.2603953118820712</v>
      </c>
      <c r="G76" s="18"/>
    </row>
    <row r="77" spans="1:7" x14ac:dyDescent="0.2">
      <c r="A77" t="s">
        <v>47</v>
      </c>
      <c r="B77" t="s">
        <v>818</v>
      </c>
      <c r="C77">
        <v>1.4008405819815584</v>
      </c>
      <c r="D77">
        <v>1.48</v>
      </c>
      <c r="E77">
        <f t="shared" si="0"/>
        <v>1.0565085128433862</v>
      </c>
      <c r="G77" s="18"/>
    </row>
    <row r="78" spans="1:7" x14ac:dyDescent="0.2">
      <c r="A78" t="s">
        <v>48</v>
      </c>
      <c r="B78" t="s">
        <v>818</v>
      </c>
      <c r="C78">
        <v>1.5079787280016694</v>
      </c>
      <c r="D78">
        <v>6.1</v>
      </c>
      <c r="E78">
        <f t="shared" si="0"/>
        <v>4.0451498994840245</v>
      </c>
      <c r="G78" s="18"/>
    </row>
    <row r="79" spans="1:7" s="35" customFormat="1" x14ac:dyDescent="0.2">
      <c r="A79" s="35" t="s">
        <v>44</v>
      </c>
      <c r="B79" t="s">
        <v>818</v>
      </c>
      <c r="C79" s="35">
        <v>143.35775681986863</v>
      </c>
      <c r="D79" s="35">
        <v>152.31</v>
      </c>
      <c r="E79" s="35">
        <f t="shared" si="0"/>
        <v>1.0624468698361402</v>
      </c>
      <c r="G79" s="37"/>
    </row>
    <row r="80" spans="1:7" x14ac:dyDescent="0.2">
      <c r="A80" t="s">
        <v>40</v>
      </c>
      <c r="B80" t="s">
        <v>448</v>
      </c>
      <c r="C80">
        <v>82.24</v>
      </c>
      <c r="D80">
        <v>834.88</v>
      </c>
      <c r="E80" s="35">
        <f t="shared" si="0"/>
        <v>10.151750972762647</v>
      </c>
    </row>
    <row r="81" spans="1:5" x14ac:dyDescent="0.2">
      <c r="A81" t="s">
        <v>41</v>
      </c>
      <c r="B81" t="s">
        <v>448</v>
      </c>
      <c r="C81">
        <v>32.9</v>
      </c>
      <c r="D81">
        <v>1579.68</v>
      </c>
      <c r="E81" s="35">
        <f t="shared" si="0"/>
        <v>48.014589665653503</v>
      </c>
    </row>
    <row r="82" spans="1:5" x14ac:dyDescent="0.2">
      <c r="A82" t="s">
        <v>42</v>
      </c>
      <c r="B82" t="s">
        <v>448</v>
      </c>
      <c r="C82">
        <v>85.1</v>
      </c>
      <c r="D82">
        <v>7520</v>
      </c>
      <c r="E82" s="35">
        <f t="shared" si="0"/>
        <v>88.366627497062282</v>
      </c>
    </row>
    <row r="83" spans="1:5" x14ac:dyDescent="0.2">
      <c r="A83" t="s">
        <v>39</v>
      </c>
      <c r="B83" t="s">
        <v>448</v>
      </c>
      <c r="C83">
        <v>145.69999999999999</v>
      </c>
      <c r="D83">
        <v>1417.92</v>
      </c>
      <c r="E83" s="35">
        <f t="shared" si="0"/>
        <v>9.7317776252573793</v>
      </c>
    </row>
    <row r="84" spans="1:5" x14ac:dyDescent="0.2">
      <c r="A84" t="s">
        <v>35</v>
      </c>
      <c r="B84" t="s">
        <v>448</v>
      </c>
      <c r="C84">
        <v>11.22</v>
      </c>
      <c r="D84">
        <v>128.69999999999999</v>
      </c>
      <c r="E84" s="35">
        <f t="shared" si="0"/>
        <v>11.470588235294116</v>
      </c>
    </row>
    <row r="85" spans="1:5" x14ac:dyDescent="0.2">
      <c r="A85" t="s">
        <v>36</v>
      </c>
      <c r="B85" t="s">
        <v>448</v>
      </c>
      <c r="C85">
        <v>56.73</v>
      </c>
      <c r="D85">
        <v>5439.94</v>
      </c>
      <c r="E85" s="35">
        <f t="shared" si="0"/>
        <v>95.891768023973199</v>
      </c>
    </row>
    <row r="86" spans="1:5" x14ac:dyDescent="0.2">
      <c r="A86" t="s">
        <v>37</v>
      </c>
      <c r="B86" t="s">
        <v>448</v>
      </c>
      <c r="C86">
        <v>54.88</v>
      </c>
      <c r="D86">
        <v>4160</v>
      </c>
      <c r="E86" s="35">
        <f t="shared" si="0"/>
        <v>75.801749271137027</v>
      </c>
    </row>
    <row r="87" spans="1:5" x14ac:dyDescent="0.2">
      <c r="A87" t="s">
        <v>38</v>
      </c>
      <c r="B87" t="s">
        <v>448</v>
      </c>
      <c r="C87">
        <v>60.4</v>
      </c>
      <c r="D87">
        <v>6399</v>
      </c>
      <c r="E87" s="35">
        <f t="shared" si="0"/>
        <v>105.94370860927152</v>
      </c>
    </row>
    <row r="88" spans="1:5" x14ac:dyDescent="0.2">
      <c r="A88" t="s">
        <v>33</v>
      </c>
      <c r="B88" t="s">
        <v>448</v>
      </c>
      <c r="C88">
        <v>20.11</v>
      </c>
      <c r="D88">
        <v>188</v>
      </c>
      <c r="E88" s="35">
        <f t="shared" si="0"/>
        <v>9.3485827946295377</v>
      </c>
    </row>
    <row r="89" spans="1:5" x14ac:dyDescent="0.2">
      <c r="A89" t="s">
        <v>34</v>
      </c>
      <c r="B89" t="s">
        <v>448</v>
      </c>
      <c r="C89">
        <v>40.89</v>
      </c>
      <c r="D89">
        <v>4630.08</v>
      </c>
      <c r="E89" s="35">
        <f t="shared" si="0"/>
        <v>113.23257520176082</v>
      </c>
    </row>
    <row r="90" spans="1:5" x14ac:dyDescent="0.2">
      <c r="A90" t="s">
        <v>43</v>
      </c>
      <c r="B90" t="s">
        <v>448</v>
      </c>
      <c r="C90">
        <v>7.2</v>
      </c>
      <c r="D90">
        <v>55.43</v>
      </c>
      <c r="E90" s="35">
        <f t="shared" si="0"/>
        <v>7.6986111111111111</v>
      </c>
    </row>
    <row r="91" spans="1:5" x14ac:dyDescent="0.2">
      <c r="A91" t="s">
        <v>45</v>
      </c>
      <c r="B91" t="s">
        <v>448</v>
      </c>
      <c r="C91">
        <v>0.34</v>
      </c>
      <c r="D91">
        <v>1.91</v>
      </c>
      <c r="E91" s="35">
        <f t="shared" si="0"/>
        <v>5.617647058823529</v>
      </c>
    </row>
    <row r="92" spans="1:5" x14ac:dyDescent="0.2">
      <c r="A92" t="s">
        <v>46</v>
      </c>
      <c r="B92" t="s">
        <v>448</v>
      </c>
      <c r="C92">
        <v>0.77</v>
      </c>
      <c r="D92">
        <v>4.4000000000000004</v>
      </c>
      <c r="E92" s="35">
        <f t="shared" si="0"/>
        <v>5.7142857142857144</v>
      </c>
    </row>
    <row r="93" spans="1:5" x14ac:dyDescent="0.2">
      <c r="A93" t="s">
        <v>47</v>
      </c>
      <c r="B93" t="s">
        <v>448</v>
      </c>
      <c r="C93">
        <v>1.0900000000000001</v>
      </c>
      <c r="D93">
        <v>1.48</v>
      </c>
      <c r="E93" s="35">
        <f t="shared" si="0"/>
        <v>1.3577981651376145</v>
      </c>
    </row>
    <row r="94" spans="1:5" x14ac:dyDescent="0.2">
      <c r="A94" t="s">
        <v>48</v>
      </c>
      <c r="B94" t="s">
        <v>448</v>
      </c>
      <c r="C94">
        <v>1.84</v>
      </c>
      <c r="D94">
        <v>6.1</v>
      </c>
      <c r="E94" s="35">
        <f t="shared" si="0"/>
        <v>3.3152173913043477</v>
      </c>
    </row>
    <row r="95" spans="1:5" x14ac:dyDescent="0.2">
      <c r="A95" t="s">
        <v>44</v>
      </c>
      <c r="B95" t="s">
        <v>448</v>
      </c>
      <c r="C95">
        <v>16.3</v>
      </c>
      <c r="D95">
        <v>152.31</v>
      </c>
      <c r="E95" s="35">
        <f t="shared" si="0"/>
        <v>9.3441717791411048</v>
      </c>
    </row>
    <row r="96" spans="1:5" x14ac:dyDescent="0.2">
      <c r="A96" t="s">
        <v>40</v>
      </c>
      <c r="B96" t="s">
        <v>449</v>
      </c>
      <c r="C96">
        <v>72.400000000000006</v>
      </c>
      <c r="D96">
        <v>834.88</v>
      </c>
      <c r="E96" s="35">
        <f>D96/C96</f>
        <v>11.531491712707181</v>
      </c>
    </row>
    <row r="97" spans="1:5" s="35" customFormat="1" x14ac:dyDescent="0.2">
      <c r="A97" s="35" t="s">
        <v>41</v>
      </c>
      <c r="B97" s="35" t="s">
        <v>449</v>
      </c>
      <c r="C97" s="35">
        <v>80</v>
      </c>
      <c r="D97" s="35">
        <v>1579.68</v>
      </c>
      <c r="E97" s="35">
        <f t="shared" ref="E97:E111" si="1">D97/C97</f>
        <v>19.746000000000002</v>
      </c>
    </row>
    <row r="98" spans="1:5" s="35" customFormat="1" x14ac:dyDescent="0.2">
      <c r="A98" s="35" t="s">
        <v>42</v>
      </c>
      <c r="B98" s="35" t="s">
        <v>449</v>
      </c>
      <c r="C98" s="35">
        <v>256.3</v>
      </c>
      <c r="D98" s="35">
        <v>7520</v>
      </c>
      <c r="E98" s="35">
        <f t="shared" si="1"/>
        <v>29.340616465079982</v>
      </c>
    </row>
    <row r="99" spans="1:5" x14ac:dyDescent="0.2">
      <c r="A99" t="s">
        <v>39</v>
      </c>
      <c r="B99" t="s">
        <v>449</v>
      </c>
      <c r="C99">
        <f>63.4*16</f>
        <v>1014.4</v>
      </c>
      <c r="D99">
        <v>1417.92</v>
      </c>
      <c r="E99" s="35">
        <f t="shared" si="1"/>
        <v>1.3977917981072556</v>
      </c>
    </row>
    <row r="100" spans="1:5" x14ac:dyDescent="0.2">
      <c r="A100" t="s">
        <v>35</v>
      </c>
      <c r="B100" t="s">
        <v>449</v>
      </c>
      <c r="C100">
        <v>87.92</v>
      </c>
      <c r="D100">
        <v>128.69999999999999</v>
      </c>
      <c r="E100" s="35">
        <f t="shared" si="1"/>
        <v>1.4638307552320289</v>
      </c>
    </row>
    <row r="101" spans="1:5" s="35" customFormat="1" x14ac:dyDescent="0.2">
      <c r="A101" s="35" t="s">
        <v>36</v>
      </c>
      <c r="B101" s="35" t="s">
        <v>449</v>
      </c>
      <c r="C101" s="35">
        <v>153.1</v>
      </c>
      <c r="D101" s="35">
        <v>5439.94</v>
      </c>
      <c r="E101" s="35">
        <f t="shared" si="1"/>
        <v>35.531939908556495</v>
      </c>
    </row>
    <row r="102" spans="1:5" s="35" customFormat="1" x14ac:dyDescent="0.2">
      <c r="A102" s="35" t="s">
        <v>37</v>
      </c>
      <c r="B102" s="35" t="s">
        <v>449</v>
      </c>
      <c r="C102" s="35">
        <v>214.9</v>
      </c>
      <c r="D102" s="35">
        <v>4160</v>
      </c>
      <c r="E102" s="35">
        <f t="shared" si="1"/>
        <v>19.357840856212192</v>
      </c>
    </row>
    <row r="103" spans="1:5" s="35" customFormat="1" x14ac:dyDescent="0.2">
      <c r="A103" s="35" t="s">
        <v>38</v>
      </c>
      <c r="B103" s="35" t="s">
        <v>449</v>
      </c>
      <c r="C103" s="35">
        <v>155.12</v>
      </c>
      <c r="D103" s="35">
        <v>6399</v>
      </c>
      <c r="E103" s="35">
        <f t="shared" si="1"/>
        <v>41.251933986591027</v>
      </c>
    </row>
    <row r="104" spans="1:5" x14ac:dyDescent="0.2">
      <c r="A104" t="s">
        <v>33</v>
      </c>
      <c r="B104" t="s">
        <v>449</v>
      </c>
      <c r="C104">
        <v>138.99</v>
      </c>
      <c r="D104">
        <v>188</v>
      </c>
      <c r="E104" s="35">
        <f t="shared" si="1"/>
        <v>1.3526152960644651</v>
      </c>
    </row>
    <row r="105" spans="1:5" s="35" customFormat="1" x14ac:dyDescent="0.2">
      <c r="A105" s="35" t="s">
        <v>34</v>
      </c>
      <c r="B105" s="35" t="s">
        <v>449</v>
      </c>
      <c r="C105" s="35">
        <v>251.6</v>
      </c>
      <c r="D105" s="35">
        <v>4630.08</v>
      </c>
      <c r="E105" s="35">
        <f t="shared" si="1"/>
        <v>18.402543720190778</v>
      </c>
    </row>
    <row r="106" spans="1:5" x14ac:dyDescent="0.2">
      <c r="A106" t="s">
        <v>43</v>
      </c>
      <c r="B106" t="s">
        <v>449</v>
      </c>
      <c r="C106">
        <v>51.3</v>
      </c>
      <c r="D106">
        <v>55.43</v>
      </c>
      <c r="E106" s="35">
        <f t="shared" si="1"/>
        <v>1.0805068226120857</v>
      </c>
    </row>
    <row r="107" spans="1:5" x14ac:dyDescent="0.2">
      <c r="A107" t="s">
        <v>45</v>
      </c>
      <c r="B107" t="s">
        <v>449</v>
      </c>
      <c r="C107">
        <v>1.1299999999999999</v>
      </c>
      <c r="D107">
        <v>1.91</v>
      </c>
      <c r="E107" s="35">
        <f t="shared" si="1"/>
        <v>1.6902654867256639</v>
      </c>
    </row>
    <row r="108" spans="1:5" x14ac:dyDescent="0.2">
      <c r="A108" t="s">
        <v>46</v>
      </c>
      <c r="B108" t="s">
        <v>449</v>
      </c>
      <c r="C108">
        <v>4.0999999999999996</v>
      </c>
      <c r="D108">
        <v>4.4000000000000004</v>
      </c>
      <c r="E108" s="35">
        <f t="shared" si="1"/>
        <v>1.0731707317073174</v>
      </c>
    </row>
    <row r="109" spans="1:5" x14ac:dyDescent="0.2">
      <c r="A109" t="s">
        <v>47</v>
      </c>
      <c r="B109" t="s">
        <v>449</v>
      </c>
      <c r="C109">
        <v>1.25</v>
      </c>
      <c r="D109">
        <v>1.48</v>
      </c>
      <c r="E109" s="35">
        <f t="shared" si="1"/>
        <v>1.1839999999999999</v>
      </c>
    </row>
    <row r="110" spans="1:5" x14ac:dyDescent="0.2">
      <c r="A110" t="s">
        <v>48</v>
      </c>
      <c r="B110" t="s">
        <v>449</v>
      </c>
      <c r="C110">
        <v>4.46</v>
      </c>
      <c r="D110">
        <v>6.1</v>
      </c>
      <c r="E110" s="35">
        <f t="shared" si="1"/>
        <v>1.3677130044843049</v>
      </c>
    </row>
    <row r="111" spans="1:5" x14ac:dyDescent="0.2">
      <c r="A111" t="s">
        <v>44</v>
      </c>
      <c r="B111" t="s">
        <v>449</v>
      </c>
      <c r="C111">
        <v>136.80000000000001</v>
      </c>
      <c r="D111">
        <v>152.31</v>
      </c>
      <c r="E111" s="35">
        <f t="shared" si="1"/>
        <v>1.1133771929824561</v>
      </c>
    </row>
    <row r="112" spans="1:5" x14ac:dyDescent="0.2">
      <c r="A112" t="s">
        <v>40</v>
      </c>
      <c r="B112" t="s">
        <v>819</v>
      </c>
      <c r="C112">
        <v>78.3</v>
      </c>
    </row>
    <row r="113" spans="1:3" x14ac:dyDescent="0.2">
      <c r="A113" s="35" t="s">
        <v>41</v>
      </c>
      <c r="B113" t="s">
        <v>819</v>
      </c>
      <c r="C113" s="40">
        <v>39.299999999999997</v>
      </c>
    </row>
    <row r="114" spans="1:3" x14ac:dyDescent="0.2">
      <c r="A114" s="35" t="s">
        <v>42</v>
      </c>
      <c r="B114" t="s">
        <v>819</v>
      </c>
      <c r="C114" s="40">
        <v>85</v>
      </c>
    </row>
    <row r="115" spans="1:3" x14ac:dyDescent="0.2">
      <c r="A115" t="s">
        <v>39</v>
      </c>
      <c r="B115" t="s">
        <v>819</v>
      </c>
      <c r="C115" s="40">
        <v>119.9</v>
      </c>
    </row>
    <row r="116" spans="1:3" x14ac:dyDescent="0.2">
      <c r="A116" t="s">
        <v>35</v>
      </c>
      <c r="B116" t="s">
        <v>819</v>
      </c>
      <c r="C116" s="40">
        <v>48.4</v>
      </c>
    </row>
    <row r="117" spans="1:3" x14ac:dyDescent="0.2">
      <c r="A117" s="35" t="s">
        <v>36</v>
      </c>
      <c r="B117" t="s">
        <v>819</v>
      </c>
      <c r="C117" s="40">
        <v>56.7</v>
      </c>
    </row>
    <row r="118" spans="1:3" x14ac:dyDescent="0.2">
      <c r="A118" s="35" t="s">
        <v>37</v>
      </c>
      <c r="B118" t="s">
        <v>819</v>
      </c>
      <c r="C118" s="40">
        <v>50</v>
      </c>
    </row>
    <row r="119" spans="1:3" x14ac:dyDescent="0.2">
      <c r="A119" s="35" t="s">
        <v>38</v>
      </c>
      <c r="B119" t="s">
        <v>819</v>
      </c>
      <c r="C119" s="40">
        <v>70.400000000000006</v>
      </c>
    </row>
    <row r="120" spans="1:3" x14ac:dyDescent="0.2">
      <c r="A120" t="s">
        <v>33</v>
      </c>
      <c r="B120" t="s">
        <v>819</v>
      </c>
      <c r="C120" s="40">
        <v>17.8</v>
      </c>
    </row>
    <row r="121" spans="1:3" x14ac:dyDescent="0.2">
      <c r="A121" s="35" t="s">
        <v>34</v>
      </c>
      <c r="B121" t="s">
        <v>819</v>
      </c>
      <c r="C121" s="40">
        <v>43.2</v>
      </c>
    </row>
    <row r="122" spans="1:3" x14ac:dyDescent="0.2">
      <c r="A122" t="s">
        <v>43</v>
      </c>
      <c r="B122" t="s">
        <v>819</v>
      </c>
      <c r="C122" s="40">
        <v>5.9</v>
      </c>
    </row>
    <row r="123" spans="1:3" x14ac:dyDescent="0.2">
      <c r="A123" t="s">
        <v>45</v>
      </c>
      <c r="B123" t="s">
        <v>819</v>
      </c>
      <c r="C123" s="40">
        <v>0.4</v>
      </c>
    </row>
    <row r="124" spans="1:3" x14ac:dyDescent="0.2">
      <c r="A124" t="s">
        <v>46</v>
      </c>
      <c r="B124" t="s">
        <v>819</v>
      </c>
      <c r="C124" s="40">
        <v>0.9</v>
      </c>
    </row>
    <row r="125" spans="1:3" x14ac:dyDescent="0.2">
      <c r="A125" t="s">
        <v>47</v>
      </c>
      <c r="B125" t="s">
        <v>819</v>
      </c>
      <c r="C125" s="40">
        <v>1.3</v>
      </c>
    </row>
    <row r="126" spans="1:3" x14ac:dyDescent="0.2">
      <c r="A126" t="s">
        <v>48</v>
      </c>
      <c r="B126" t="s">
        <v>819</v>
      </c>
      <c r="C126" s="40">
        <v>1.4</v>
      </c>
    </row>
    <row r="127" spans="1:3" x14ac:dyDescent="0.2">
      <c r="A127" s="35" t="s">
        <v>44</v>
      </c>
      <c r="B127" t="s">
        <v>819</v>
      </c>
      <c r="C127" s="40">
        <v>30.6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82"/>
  <sheetViews>
    <sheetView topLeftCell="A91" zoomScale="144" zoomScaleNormal="139" workbookViewId="0">
      <selection activeCell="D110" sqref="D110"/>
    </sheetView>
  </sheetViews>
  <sheetFormatPr baseColWidth="10" defaultColWidth="8.83203125" defaultRowHeight="15" x14ac:dyDescent="0.2"/>
  <cols>
    <col min="1" max="1" width="16.6640625" customWidth="1"/>
    <col min="2" max="2" width="26.5" customWidth="1"/>
    <col min="3" max="3" width="23.83203125" customWidth="1"/>
    <col min="4" max="6" width="22.33203125" customWidth="1"/>
    <col min="7" max="7" width="25.6640625" customWidth="1"/>
    <col min="8" max="8" width="31.5" customWidth="1"/>
    <col min="9" max="9" width="25.5" customWidth="1"/>
    <col min="10" max="10" width="27.1640625" customWidth="1"/>
    <col min="11" max="11" width="47.6640625" customWidth="1"/>
    <col min="12" max="12" width="37.83203125" customWidth="1"/>
    <col min="13" max="13" width="34.83203125" customWidth="1"/>
  </cols>
  <sheetData>
    <row r="1" spans="1:14" x14ac:dyDescent="0.2">
      <c r="A1" t="s">
        <v>0</v>
      </c>
      <c r="B1" t="s">
        <v>451</v>
      </c>
      <c r="C1" t="s">
        <v>74</v>
      </c>
      <c r="D1" t="s">
        <v>452</v>
      </c>
      <c r="F1" t="s">
        <v>453</v>
      </c>
      <c r="G1" t="s">
        <v>454</v>
      </c>
      <c r="H1" t="s">
        <v>455</v>
      </c>
      <c r="I1" t="s">
        <v>456</v>
      </c>
      <c r="J1" t="s">
        <v>457</v>
      </c>
      <c r="K1" t="s">
        <v>458</v>
      </c>
      <c r="L1" t="s">
        <v>459</v>
      </c>
      <c r="M1" t="s">
        <v>460</v>
      </c>
      <c r="N1" t="s">
        <v>461</v>
      </c>
    </row>
    <row r="2" spans="1:14" x14ac:dyDescent="0.2">
      <c r="A2" t="s">
        <v>40</v>
      </c>
      <c r="B2" t="s">
        <v>462</v>
      </c>
      <c r="C2" t="s">
        <v>175</v>
      </c>
      <c r="D2">
        <v>1</v>
      </c>
      <c r="G2">
        <v>0.93603744149765999</v>
      </c>
      <c r="H2">
        <v>0</v>
      </c>
      <c r="I2">
        <v>9.8746081504702196E-3</v>
      </c>
      <c r="J2">
        <v>0</v>
      </c>
      <c r="K2">
        <v>63</v>
      </c>
      <c r="L2">
        <v>0</v>
      </c>
      <c r="M2">
        <v>638</v>
      </c>
      <c r="N2">
        <v>1</v>
      </c>
    </row>
    <row r="3" spans="1:14" x14ac:dyDescent="0.2">
      <c r="A3" t="s">
        <v>40</v>
      </c>
      <c r="B3" t="s">
        <v>462</v>
      </c>
      <c r="C3" t="s">
        <v>175</v>
      </c>
      <c r="D3">
        <v>2</v>
      </c>
      <c r="G3">
        <v>0.94407185628742496</v>
      </c>
      <c r="H3">
        <v>0</v>
      </c>
      <c r="I3">
        <v>1.990595611285266E-2</v>
      </c>
      <c r="J3">
        <v>0</v>
      </c>
      <c r="K3">
        <v>127</v>
      </c>
      <c r="L3">
        <v>0</v>
      </c>
      <c r="M3">
        <v>638</v>
      </c>
      <c r="N3">
        <v>1</v>
      </c>
    </row>
    <row r="4" spans="1:14" x14ac:dyDescent="0.2">
      <c r="A4" t="s">
        <v>40</v>
      </c>
      <c r="B4" t="s">
        <v>462</v>
      </c>
      <c r="C4" t="s">
        <v>175</v>
      </c>
      <c r="D4">
        <v>3</v>
      </c>
      <c r="G4">
        <v>0.94879643387815804</v>
      </c>
      <c r="H4">
        <v>0</v>
      </c>
      <c r="I4">
        <v>2.9937304075235111E-2</v>
      </c>
      <c r="J4">
        <v>0</v>
      </c>
      <c r="K4">
        <v>191</v>
      </c>
      <c r="L4">
        <v>0</v>
      </c>
      <c r="M4">
        <v>638</v>
      </c>
      <c r="N4">
        <v>1</v>
      </c>
    </row>
    <row r="5" spans="1:14" x14ac:dyDescent="0.2">
      <c r="A5" t="s">
        <v>40</v>
      </c>
      <c r="B5" t="s">
        <v>462</v>
      </c>
      <c r="C5" t="s">
        <v>175</v>
      </c>
      <c r="D5">
        <v>4</v>
      </c>
      <c r="G5">
        <v>0.94879643387815804</v>
      </c>
      <c r="H5">
        <v>0</v>
      </c>
      <c r="I5">
        <v>3.9968652037617562E-2</v>
      </c>
      <c r="J5">
        <v>0</v>
      </c>
      <c r="K5">
        <v>255</v>
      </c>
      <c r="L5">
        <v>0</v>
      </c>
      <c r="M5">
        <v>638</v>
      </c>
      <c r="N5">
        <v>1</v>
      </c>
    </row>
    <row r="6" spans="1:14" x14ac:dyDescent="0.2">
      <c r="A6" t="s">
        <v>40</v>
      </c>
      <c r="B6" t="s">
        <v>462</v>
      </c>
      <c r="C6" t="s">
        <v>175</v>
      </c>
      <c r="D6">
        <v>5</v>
      </c>
      <c r="G6">
        <v>0.96735905044510395</v>
      </c>
      <c r="H6">
        <v>0</v>
      </c>
      <c r="I6">
        <v>0.05</v>
      </c>
      <c r="J6">
        <v>0</v>
      </c>
      <c r="K6">
        <v>319</v>
      </c>
      <c r="L6">
        <v>0</v>
      </c>
      <c r="M6">
        <v>638</v>
      </c>
      <c r="N6">
        <v>1</v>
      </c>
    </row>
    <row r="7" spans="1:14" x14ac:dyDescent="0.2">
      <c r="A7" t="s">
        <v>40</v>
      </c>
      <c r="B7" t="s">
        <v>462</v>
      </c>
      <c r="C7" t="s">
        <v>175</v>
      </c>
      <c r="D7">
        <v>6</v>
      </c>
      <c r="G7">
        <v>0.96735905044510395</v>
      </c>
      <c r="H7">
        <v>0</v>
      </c>
      <c r="I7">
        <v>5.9874608150470222E-2</v>
      </c>
      <c r="J7">
        <v>0</v>
      </c>
      <c r="K7">
        <v>382</v>
      </c>
      <c r="L7">
        <v>0</v>
      </c>
      <c r="M7">
        <v>638</v>
      </c>
      <c r="N7">
        <v>1</v>
      </c>
    </row>
    <row r="8" spans="1:14" x14ac:dyDescent="0.2">
      <c r="A8" t="s">
        <v>40</v>
      </c>
      <c r="B8" t="s">
        <v>462</v>
      </c>
      <c r="C8" t="s">
        <v>175</v>
      </c>
      <c r="D8">
        <v>7</v>
      </c>
      <c r="G8">
        <v>0.96735905044510395</v>
      </c>
      <c r="H8">
        <v>0</v>
      </c>
      <c r="I8">
        <v>6.9905956112852663E-2</v>
      </c>
      <c r="J8">
        <v>0</v>
      </c>
      <c r="K8">
        <v>446</v>
      </c>
      <c r="L8">
        <v>0</v>
      </c>
      <c r="M8">
        <v>638</v>
      </c>
      <c r="N8">
        <v>1</v>
      </c>
    </row>
    <row r="9" spans="1:14" x14ac:dyDescent="0.2">
      <c r="A9" t="s">
        <v>40</v>
      </c>
      <c r="B9" t="s">
        <v>462</v>
      </c>
      <c r="C9" t="s">
        <v>175</v>
      </c>
      <c r="D9">
        <v>8</v>
      </c>
      <c r="G9">
        <v>0.96735905044510395</v>
      </c>
      <c r="H9">
        <v>0</v>
      </c>
      <c r="I9">
        <v>7.9937304075235111E-2</v>
      </c>
      <c r="J9">
        <v>0</v>
      </c>
      <c r="K9">
        <v>510</v>
      </c>
      <c r="L9">
        <v>0</v>
      </c>
      <c r="M9">
        <v>638</v>
      </c>
      <c r="N9">
        <v>1</v>
      </c>
    </row>
    <row r="10" spans="1:14" x14ac:dyDescent="0.2">
      <c r="A10" t="s">
        <v>40</v>
      </c>
      <c r="B10" t="s">
        <v>462</v>
      </c>
      <c r="C10" t="s">
        <v>175</v>
      </c>
      <c r="D10">
        <v>9</v>
      </c>
      <c r="G10">
        <v>0.96735905044510395</v>
      </c>
      <c r="H10">
        <v>0</v>
      </c>
      <c r="I10">
        <v>8.9968652037617558E-2</v>
      </c>
      <c r="J10">
        <v>0</v>
      </c>
      <c r="K10">
        <v>574</v>
      </c>
      <c r="L10">
        <v>0</v>
      </c>
      <c r="M10">
        <v>638</v>
      </c>
      <c r="N10">
        <v>1</v>
      </c>
    </row>
    <row r="11" spans="1:14" x14ac:dyDescent="0.2">
      <c r="A11" t="s">
        <v>40</v>
      </c>
      <c r="B11" t="s">
        <v>462</v>
      </c>
      <c r="C11" t="s">
        <v>175</v>
      </c>
      <c r="D11">
        <v>10</v>
      </c>
      <c r="G11">
        <v>0.96735905044510395</v>
      </c>
      <c r="H11">
        <v>0</v>
      </c>
      <c r="I11">
        <v>8.9968652037617558E-2</v>
      </c>
      <c r="J11">
        <v>0</v>
      </c>
      <c r="K11">
        <v>574</v>
      </c>
      <c r="L11">
        <v>0</v>
      </c>
      <c r="M11">
        <v>638</v>
      </c>
      <c r="N11">
        <v>1</v>
      </c>
    </row>
    <row r="12" spans="1:14" x14ac:dyDescent="0.2">
      <c r="A12" t="s">
        <v>40</v>
      </c>
      <c r="B12" t="s">
        <v>463</v>
      </c>
      <c r="C12" t="s">
        <v>228</v>
      </c>
      <c r="D12">
        <v>1</v>
      </c>
      <c r="F12">
        <f>D12+2.8</f>
        <v>3.8</v>
      </c>
      <c r="G12">
        <v>0.953101361573374</v>
      </c>
      <c r="H12">
        <v>0</v>
      </c>
      <c r="I12">
        <v>1.896551724137931E-2</v>
      </c>
      <c r="J12">
        <v>0</v>
      </c>
      <c r="K12">
        <v>121</v>
      </c>
      <c r="L12">
        <v>0</v>
      </c>
      <c r="M12">
        <v>638</v>
      </c>
      <c r="N12">
        <v>1</v>
      </c>
    </row>
    <row r="13" spans="1:14" x14ac:dyDescent="0.2">
      <c r="A13" t="s">
        <v>40</v>
      </c>
      <c r="B13" t="s">
        <v>463</v>
      </c>
      <c r="C13" t="s">
        <v>228</v>
      </c>
      <c r="D13">
        <v>2</v>
      </c>
      <c r="F13">
        <f>D13+2.8</f>
        <v>4.8</v>
      </c>
      <c r="G13">
        <v>0.96735905044510395</v>
      </c>
      <c r="H13">
        <v>0</v>
      </c>
      <c r="I13">
        <v>2.7899686520376169E-2</v>
      </c>
      <c r="J13">
        <v>0</v>
      </c>
      <c r="K13">
        <v>178</v>
      </c>
      <c r="L13">
        <v>0</v>
      </c>
      <c r="M13">
        <v>638</v>
      </c>
      <c r="N13">
        <v>1</v>
      </c>
    </row>
    <row r="14" spans="1:14" x14ac:dyDescent="0.2">
      <c r="A14" t="s">
        <v>40</v>
      </c>
      <c r="B14" t="s">
        <v>463</v>
      </c>
      <c r="C14" t="s">
        <v>228</v>
      </c>
      <c r="D14">
        <v>3</v>
      </c>
      <c r="F14">
        <f>D14+2.8</f>
        <v>5.8</v>
      </c>
      <c r="G14">
        <v>0.97096433878157995</v>
      </c>
      <c r="H14">
        <v>0</v>
      </c>
      <c r="I14">
        <v>3.699059561128526E-2</v>
      </c>
      <c r="J14">
        <v>0</v>
      </c>
      <c r="K14">
        <v>236</v>
      </c>
      <c r="L14">
        <v>0</v>
      </c>
      <c r="M14">
        <v>638</v>
      </c>
      <c r="N14">
        <v>1</v>
      </c>
    </row>
    <row r="15" spans="1:14" x14ac:dyDescent="0.2">
      <c r="A15" t="s">
        <v>40</v>
      </c>
      <c r="B15" t="s">
        <v>463</v>
      </c>
      <c r="C15" t="s">
        <v>228</v>
      </c>
      <c r="D15">
        <v>4</v>
      </c>
      <c r="F15">
        <f>D15+2.8</f>
        <v>6.8</v>
      </c>
      <c r="G15">
        <v>0.97141420118343202</v>
      </c>
      <c r="H15">
        <v>0</v>
      </c>
      <c r="I15">
        <v>4.5924764890282133E-2</v>
      </c>
      <c r="J15">
        <v>0</v>
      </c>
      <c r="K15">
        <v>293</v>
      </c>
      <c r="L15">
        <v>0</v>
      </c>
      <c r="M15">
        <v>638</v>
      </c>
      <c r="N15">
        <v>1</v>
      </c>
    </row>
    <row r="16" spans="1:14" x14ac:dyDescent="0.2">
      <c r="A16" t="s">
        <v>40</v>
      </c>
      <c r="B16" t="s">
        <v>463</v>
      </c>
      <c r="C16" t="s">
        <v>228</v>
      </c>
      <c r="D16">
        <v>5</v>
      </c>
      <c r="F16">
        <v>7.9</v>
      </c>
      <c r="G16">
        <v>0.98102189781021898</v>
      </c>
      <c r="H16">
        <v>0</v>
      </c>
      <c r="I16">
        <v>5.5015673981191227E-2</v>
      </c>
      <c r="J16">
        <v>0</v>
      </c>
      <c r="K16">
        <v>351</v>
      </c>
      <c r="L16">
        <v>0</v>
      </c>
      <c r="M16">
        <v>638</v>
      </c>
      <c r="N16">
        <v>1</v>
      </c>
    </row>
    <row r="17" spans="1:14" x14ac:dyDescent="0.2">
      <c r="A17" t="s">
        <v>40</v>
      </c>
      <c r="B17" t="s">
        <v>463</v>
      </c>
      <c r="C17" t="s">
        <v>228</v>
      </c>
      <c r="D17">
        <v>6</v>
      </c>
      <c r="F17">
        <v>8.3000000000000007</v>
      </c>
      <c r="G17">
        <v>0.98102189781021898</v>
      </c>
      <c r="H17">
        <v>0</v>
      </c>
      <c r="I17">
        <v>6.3949843260188086E-2</v>
      </c>
      <c r="J17">
        <v>0</v>
      </c>
      <c r="K17">
        <v>408</v>
      </c>
      <c r="L17">
        <v>0</v>
      </c>
      <c r="M17">
        <v>638</v>
      </c>
      <c r="N17">
        <v>1</v>
      </c>
    </row>
    <row r="18" spans="1:14" x14ac:dyDescent="0.2">
      <c r="A18" t="s">
        <v>40</v>
      </c>
      <c r="B18" t="s">
        <v>463</v>
      </c>
      <c r="C18" t="s">
        <v>228</v>
      </c>
      <c r="D18">
        <v>7</v>
      </c>
      <c r="F18">
        <v>9.3000000000000007</v>
      </c>
      <c r="G18">
        <v>0.98296632503660297</v>
      </c>
      <c r="H18">
        <v>0</v>
      </c>
      <c r="I18">
        <v>7.2884012539184945E-2</v>
      </c>
      <c r="J18">
        <v>0</v>
      </c>
      <c r="K18">
        <v>465</v>
      </c>
      <c r="L18">
        <v>0</v>
      </c>
      <c r="M18">
        <v>638</v>
      </c>
      <c r="N18">
        <v>1</v>
      </c>
    </row>
    <row r="19" spans="1:14" x14ac:dyDescent="0.2">
      <c r="A19" t="s">
        <v>40</v>
      </c>
      <c r="B19" t="s">
        <v>463</v>
      </c>
      <c r="C19" t="s">
        <v>228</v>
      </c>
      <c r="D19">
        <v>8</v>
      </c>
      <c r="F19">
        <v>10.199999999999999</v>
      </c>
      <c r="G19">
        <v>0.98542274052478096</v>
      </c>
      <c r="H19">
        <v>0</v>
      </c>
      <c r="I19">
        <v>8.1974921630094039E-2</v>
      </c>
      <c r="J19">
        <v>0</v>
      </c>
      <c r="K19">
        <v>523</v>
      </c>
      <c r="L19">
        <v>0</v>
      </c>
      <c r="M19">
        <v>638</v>
      </c>
      <c r="N19">
        <v>1</v>
      </c>
    </row>
    <row r="20" spans="1:14" x14ac:dyDescent="0.2">
      <c r="A20" t="s">
        <v>40</v>
      </c>
      <c r="B20" t="s">
        <v>463</v>
      </c>
      <c r="C20" t="s">
        <v>228</v>
      </c>
      <c r="D20">
        <v>9</v>
      </c>
      <c r="E20">
        <v>2</v>
      </c>
      <c r="F20">
        <v>11</v>
      </c>
      <c r="G20">
        <v>0.98530728862973804</v>
      </c>
      <c r="H20">
        <v>0</v>
      </c>
      <c r="I20">
        <v>9.0909090909090912E-2</v>
      </c>
      <c r="J20">
        <v>0</v>
      </c>
      <c r="K20">
        <v>580</v>
      </c>
      <c r="L20">
        <v>0</v>
      </c>
      <c r="M20">
        <v>638</v>
      </c>
      <c r="N20">
        <v>1</v>
      </c>
    </row>
    <row r="21" spans="1:14" x14ac:dyDescent="0.2">
      <c r="A21" t="s">
        <v>40</v>
      </c>
      <c r="B21" t="s">
        <v>464</v>
      </c>
      <c r="C21" t="s">
        <v>465</v>
      </c>
      <c r="D21">
        <v>10</v>
      </c>
      <c r="G21">
        <v>0.98650000000000004</v>
      </c>
      <c r="H21">
        <v>0</v>
      </c>
      <c r="I21">
        <v>0.1</v>
      </c>
      <c r="J21">
        <v>0</v>
      </c>
      <c r="K21">
        <v>638</v>
      </c>
      <c r="L21">
        <v>0</v>
      </c>
      <c r="M21">
        <v>638</v>
      </c>
      <c r="N21">
        <v>1</v>
      </c>
    </row>
    <row r="22" spans="1:14" x14ac:dyDescent="0.2">
      <c r="A22" t="s">
        <v>41</v>
      </c>
      <c r="B22" t="s">
        <v>462</v>
      </c>
      <c r="C22" t="s">
        <v>175</v>
      </c>
      <c r="D22">
        <v>1</v>
      </c>
      <c r="G22" s="9">
        <v>0.25099496999999998</v>
      </c>
      <c r="H22">
        <v>0</v>
      </c>
      <c r="I22">
        <v>9.9918599918599905E-3</v>
      </c>
      <c r="J22">
        <v>0</v>
      </c>
      <c r="K22">
        <v>982</v>
      </c>
      <c r="L22">
        <v>0</v>
      </c>
      <c r="M22">
        <v>9828</v>
      </c>
      <c r="N22">
        <v>1</v>
      </c>
    </row>
    <row r="23" spans="1:14" x14ac:dyDescent="0.2">
      <c r="A23" t="s">
        <v>41</v>
      </c>
      <c r="B23" t="s">
        <v>462</v>
      </c>
      <c r="C23" t="s">
        <v>175</v>
      </c>
      <c r="D23">
        <v>2</v>
      </c>
      <c r="G23" s="9">
        <v>0.2767598</v>
      </c>
      <c r="H23">
        <v>0</v>
      </c>
      <c r="I23">
        <v>1.9993894993894989E-2</v>
      </c>
      <c r="J23">
        <v>0</v>
      </c>
      <c r="K23">
        <v>1965</v>
      </c>
      <c r="L23">
        <v>0</v>
      </c>
      <c r="M23">
        <v>9828</v>
      </c>
      <c r="N23">
        <v>1</v>
      </c>
    </row>
    <row r="24" spans="1:14" x14ac:dyDescent="0.2">
      <c r="A24" t="s">
        <v>41</v>
      </c>
      <c r="B24" t="s">
        <v>462</v>
      </c>
      <c r="C24" t="s">
        <v>175</v>
      </c>
      <c r="D24">
        <v>3</v>
      </c>
      <c r="G24" s="9">
        <v>0.29310153999999999</v>
      </c>
      <c r="H24">
        <v>0</v>
      </c>
      <c r="I24">
        <v>2.9995929995929999E-2</v>
      </c>
      <c r="J24">
        <v>0</v>
      </c>
      <c r="K24">
        <v>2948</v>
      </c>
      <c r="L24">
        <v>0</v>
      </c>
      <c r="M24">
        <v>9828</v>
      </c>
      <c r="N24">
        <v>1</v>
      </c>
    </row>
    <row r="25" spans="1:14" x14ac:dyDescent="0.2">
      <c r="A25" t="s">
        <v>41</v>
      </c>
      <c r="B25" t="s">
        <v>462</v>
      </c>
      <c r="C25" t="s">
        <v>175</v>
      </c>
      <c r="D25">
        <v>4</v>
      </c>
      <c r="G25" s="9">
        <v>0.30213018000000003</v>
      </c>
      <c r="H25">
        <v>0</v>
      </c>
      <c r="I25">
        <v>3.9997964997964992E-2</v>
      </c>
      <c r="J25">
        <v>0</v>
      </c>
      <c r="K25">
        <v>3931</v>
      </c>
      <c r="L25">
        <v>0</v>
      </c>
      <c r="M25">
        <v>9828</v>
      </c>
      <c r="N25">
        <v>1</v>
      </c>
    </row>
    <row r="26" spans="1:14" x14ac:dyDescent="0.2">
      <c r="A26" t="s">
        <v>41</v>
      </c>
      <c r="B26" t="s">
        <v>462</v>
      </c>
      <c r="C26" t="s">
        <v>175</v>
      </c>
      <c r="D26">
        <v>5</v>
      </c>
      <c r="G26" s="9">
        <v>0.38574338000000002</v>
      </c>
      <c r="H26">
        <v>0</v>
      </c>
      <c r="I26">
        <v>0.05</v>
      </c>
      <c r="J26">
        <v>0</v>
      </c>
      <c r="K26">
        <v>4914</v>
      </c>
      <c r="L26">
        <v>0</v>
      </c>
      <c r="M26">
        <v>9828</v>
      </c>
      <c r="N26">
        <v>1</v>
      </c>
    </row>
    <row r="27" spans="1:14" x14ac:dyDescent="0.2">
      <c r="A27" t="s">
        <v>41</v>
      </c>
      <c r="B27" t="s">
        <v>462</v>
      </c>
      <c r="C27" t="s">
        <v>175</v>
      </c>
      <c r="D27">
        <v>6</v>
      </c>
      <c r="G27" s="9">
        <v>0.39648327999999999</v>
      </c>
      <c r="H27">
        <v>0</v>
      </c>
      <c r="I27">
        <v>5.9991859991859998E-2</v>
      </c>
      <c r="J27">
        <v>0</v>
      </c>
      <c r="K27">
        <v>5896</v>
      </c>
      <c r="L27">
        <v>0</v>
      </c>
      <c r="M27">
        <v>9828</v>
      </c>
      <c r="N27">
        <v>1</v>
      </c>
    </row>
    <row r="28" spans="1:14" x14ac:dyDescent="0.2">
      <c r="A28" t="s">
        <v>41</v>
      </c>
      <c r="B28" t="s">
        <v>462</v>
      </c>
      <c r="C28" t="s">
        <v>175</v>
      </c>
      <c r="D28">
        <v>7</v>
      </c>
      <c r="G28" s="9">
        <v>0.39424351000000002</v>
      </c>
      <c r="H28">
        <v>0</v>
      </c>
      <c r="I28">
        <v>6.9993894993894995E-2</v>
      </c>
      <c r="J28">
        <v>0</v>
      </c>
      <c r="K28">
        <v>6879</v>
      </c>
      <c r="L28">
        <v>0</v>
      </c>
      <c r="M28">
        <v>9828</v>
      </c>
      <c r="N28">
        <v>1</v>
      </c>
    </row>
    <row r="29" spans="1:14" x14ac:dyDescent="0.2">
      <c r="A29" t="s">
        <v>41</v>
      </c>
      <c r="B29" t="s">
        <v>462</v>
      </c>
      <c r="C29" t="s">
        <v>175</v>
      </c>
      <c r="D29">
        <v>8</v>
      </c>
      <c r="G29" s="9">
        <v>0.42622937</v>
      </c>
      <c r="H29">
        <v>0</v>
      </c>
      <c r="I29">
        <v>7.9995929995929999E-2</v>
      </c>
      <c r="J29">
        <v>0</v>
      </c>
      <c r="K29">
        <v>7862</v>
      </c>
      <c r="L29">
        <v>0</v>
      </c>
      <c r="M29">
        <v>9828</v>
      </c>
      <c r="N29">
        <v>1</v>
      </c>
    </row>
    <row r="30" spans="1:14" x14ac:dyDescent="0.2">
      <c r="A30" t="s">
        <v>41</v>
      </c>
      <c r="B30" t="s">
        <v>462</v>
      </c>
      <c r="C30" t="s">
        <v>175</v>
      </c>
      <c r="D30">
        <v>9</v>
      </c>
      <c r="G30" s="9">
        <v>0.42682622999999997</v>
      </c>
      <c r="H30">
        <v>0</v>
      </c>
      <c r="I30">
        <v>8.9997964997965002E-2</v>
      </c>
      <c r="J30">
        <v>0</v>
      </c>
      <c r="K30">
        <v>8845</v>
      </c>
      <c r="L30">
        <v>0</v>
      </c>
      <c r="M30">
        <v>9828</v>
      </c>
      <c r="N30">
        <v>1</v>
      </c>
    </row>
    <row r="31" spans="1:14" x14ac:dyDescent="0.2">
      <c r="A31" t="s">
        <v>41</v>
      </c>
      <c r="B31" t="s">
        <v>462</v>
      </c>
      <c r="C31" t="s">
        <v>175</v>
      </c>
      <c r="D31">
        <v>10</v>
      </c>
      <c r="G31" s="9">
        <v>0.42682622999999997</v>
      </c>
      <c r="H31">
        <v>0</v>
      </c>
      <c r="I31">
        <v>8.9997964997965002E-2</v>
      </c>
      <c r="J31">
        <v>0</v>
      </c>
      <c r="K31">
        <v>8845</v>
      </c>
      <c r="L31">
        <v>0</v>
      </c>
      <c r="M31">
        <v>9828</v>
      </c>
      <c r="N31">
        <v>1</v>
      </c>
    </row>
    <row r="32" spans="1:14" x14ac:dyDescent="0.2">
      <c r="A32" t="s">
        <v>41</v>
      </c>
      <c r="B32" t="s">
        <v>463</v>
      </c>
      <c r="C32" t="s">
        <v>228</v>
      </c>
      <c r="D32">
        <v>1</v>
      </c>
      <c r="F32">
        <f t="shared" ref="F32:F39" si="0">D32+4.2</f>
        <v>5.2</v>
      </c>
      <c r="G32" s="20">
        <v>0.28931750741839801</v>
      </c>
      <c r="H32">
        <v>0</v>
      </c>
      <c r="I32">
        <v>1.8996743996743989E-2</v>
      </c>
      <c r="J32">
        <v>0</v>
      </c>
      <c r="K32">
        <v>1867</v>
      </c>
      <c r="L32">
        <v>0</v>
      </c>
      <c r="M32">
        <v>9828</v>
      </c>
      <c r="N32">
        <v>1</v>
      </c>
    </row>
    <row r="33" spans="1:14" x14ac:dyDescent="0.2">
      <c r="A33" t="s">
        <v>41</v>
      </c>
      <c r="B33" t="s">
        <v>463</v>
      </c>
      <c r="C33" t="s">
        <v>228</v>
      </c>
      <c r="D33">
        <v>2</v>
      </c>
      <c r="F33">
        <f t="shared" si="0"/>
        <v>6.2</v>
      </c>
      <c r="G33" s="20">
        <v>0.31303669008586998</v>
      </c>
      <c r="H33">
        <v>0</v>
      </c>
      <c r="I33">
        <v>2.7991452991452989E-2</v>
      </c>
      <c r="J33">
        <v>0</v>
      </c>
      <c r="K33">
        <v>2751</v>
      </c>
      <c r="L33">
        <v>0</v>
      </c>
      <c r="M33">
        <v>9828</v>
      </c>
      <c r="N33">
        <v>1</v>
      </c>
    </row>
    <row r="34" spans="1:14" x14ac:dyDescent="0.2">
      <c r="A34" t="s">
        <v>41</v>
      </c>
      <c r="B34" t="s">
        <v>463</v>
      </c>
      <c r="C34" t="s">
        <v>228</v>
      </c>
      <c r="D34">
        <v>3</v>
      </c>
      <c r="F34">
        <f t="shared" si="0"/>
        <v>7.2</v>
      </c>
      <c r="G34" s="20">
        <v>0.40650406504065001</v>
      </c>
      <c r="H34">
        <v>0</v>
      </c>
      <c r="I34">
        <v>3.6996336996336997E-2</v>
      </c>
      <c r="J34">
        <v>0</v>
      </c>
      <c r="K34">
        <v>3636</v>
      </c>
      <c r="L34">
        <v>0</v>
      </c>
      <c r="M34">
        <v>9828</v>
      </c>
      <c r="N34">
        <v>1</v>
      </c>
    </row>
    <row r="35" spans="1:14" x14ac:dyDescent="0.2">
      <c r="A35" t="s">
        <v>41</v>
      </c>
      <c r="B35" t="s">
        <v>463</v>
      </c>
      <c r="C35" t="s">
        <v>228</v>
      </c>
      <c r="D35">
        <v>4</v>
      </c>
      <c r="F35">
        <f t="shared" si="0"/>
        <v>8.1999999999999993</v>
      </c>
      <c r="G35" s="20">
        <v>0.41240875912408798</v>
      </c>
      <c r="H35">
        <v>0</v>
      </c>
      <c r="I35">
        <v>4.6001221001220997E-2</v>
      </c>
      <c r="J35">
        <v>0</v>
      </c>
      <c r="K35">
        <v>4521</v>
      </c>
      <c r="L35">
        <v>0</v>
      </c>
      <c r="M35">
        <v>9828</v>
      </c>
      <c r="N35">
        <v>1</v>
      </c>
    </row>
    <row r="36" spans="1:14" x14ac:dyDescent="0.2">
      <c r="A36" t="s">
        <v>41</v>
      </c>
      <c r="B36" t="s">
        <v>463</v>
      </c>
      <c r="C36" t="s">
        <v>228</v>
      </c>
      <c r="D36">
        <v>5</v>
      </c>
      <c r="F36">
        <f t="shared" si="0"/>
        <v>9.1999999999999993</v>
      </c>
      <c r="G36" s="20">
        <v>0.39749390880612601</v>
      </c>
      <c r="H36">
        <v>0</v>
      </c>
      <c r="I36">
        <v>5.499592999592999E-2</v>
      </c>
      <c r="J36">
        <v>0</v>
      </c>
      <c r="K36">
        <v>5405</v>
      </c>
      <c r="L36">
        <v>0</v>
      </c>
      <c r="M36">
        <v>9828</v>
      </c>
      <c r="N36">
        <v>1</v>
      </c>
    </row>
    <row r="37" spans="1:14" x14ac:dyDescent="0.2">
      <c r="A37" t="s">
        <v>41</v>
      </c>
      <c r="B37" t="s">
        <v>463</v>
      </c>
      <c r="C37" t="s">
        <v>228</v>
      </c>
      <c r="D37">
        <v>6</v>
      </c>
      <c r="F37">
        <f t="shared" si="0"/>
        <v>10.199999999999999</v>
      </c>
      <c r="G37" s="20">
        <v>0.47936507936507899</v>
      </c>
      <c r="H37">
        <v>0</v>
      </c>
      <c r="I37">
        <v>6.399063899063899E-2</v>
      </c>
      <c r="J37">
        <v>0</v>
      </c>
      <c r="K37">
        <v>6289</v>
      </c>
      <c r="L37">
        <v>0</v>
      </c>
      <c r="M37">
        <v>9828</v>
      </c>
      <c r="N37">
        <v>1</v>
      </c>
    </row>
    <row r="38" spans="1:14" x14ac:dyDescent="0.2">
      <c r="A38" t="s">
        <v>41</v>
      </c>
      <c r="B38" t="s">
        <v>463</v>
      </c>
      <c r="C38" t="s">
        <v>228</v>
      </c>
      <c r="D38">
        <v>7</v>
      </c>
      <c r="F38">
        <f t="shared" si="0"/>
        <v>11.2</v>
      </c>
      <c r="G38" s="20">
        <v>0.51333138001758005</v>
      </c>
      <c r="H38">
        <v>0</v>
      </c>
      <c r="I38">
        <v>7.2995522995523004E-2</v>
      </c>
      <c r="J38">
        <v>0</v>
      </c>
      <c r="K38">
        <v>7174</v>
      </c>
      <c r="L38">
        <v>0</v>
      </c>
      <c r="M38">
        <v>9828</v>
      </c>
      <c r="N38">
        <v>1</v>
      </c>
    </row>
    <row r="39" spans="1:14" x14ac:dyDescent="0.2">
      <c r="A39" t="s">
        <v>41</v>
      </c>
      <c r="B39" t="s">
        <v>463</v>
      </c>
      <c r="C39" t="s">
        <v>228</v>
      </c>
      <c r="D39">
        <v>8</v>
      </c>
      <c r="F39">
        <f t="shared" si="0"/>
        <v>12.2</v>
      </c>
      <c r="G39" s="20">
        <v>0.52205220522052198</v>
      </c>
      <c r="H39">
        <v>0</v>
      </c>
      <c r="I39">
        <v>8.2000407000407005E-2</v>
      </c>
      <c r="J39">
        <v>0</v>
      </c>
      <c r="K39">
        <v>8059</v>
      </c>
      <c r="L39">
        <v>0</v>
      </c>
      <c r="M39">
        <v>9828</v>
      </c>
      <c r="N39">
        <v>1</v>
      </c>
    </row>
    <row r="40" spans="1:14" x14ac:dyDescent="0.2">
      <c r="A40" t="s">
        <v>41</v>
      </c>
      <c r="B40" t="s">
        <v>463</v>
      </c>
      <c r="C40" t="s">
        <v>228</v>
      </c>
      <c r="D40">
        <v>9</v>
      </c>
      <c r="F40">
        <v>13.5</v>
      </c>
      <c r="G40" s="20">
        <v>0.52205220522052198</v>
      </c>
      <c r="H40">
        <v>0</v>
      </c>
      <c r="I40">
        <v>9.0995115995116005E-2</v>
      </c>
      <c r="J40">
        <v>0</v>
      </c>
      <c r="K40">
        <v>8943</v>
      </c>
      <c r="L40">
        <v>0</v>
      </c>
      <c r="M40">
        <v>9828</v>
      </c>
      <c r="N40">
        <v>1</v>
      </c>
    </row>
    <row r="41" spans="1:14" x14ac:dyDescent="0.2">
      <c r="A41" t="s">
        <v>41</v>
      </c>
      <c r="B41" t="s">
        <v>464</v>
      </c>
      <c r="C41" t="s">
        <v>465</v>
      </c>
      <c r="D41">
        <v>10</v>
      </c>
      <c r="G41">
        <v>0.98499999999999999</v>
      </c>
      <c r="H41">
        <v>0</v>
      </c>
      <c r="I41">
        <v>0.1</v>
      </c>
      <c r="J41">
        <v>0</v>
      </c>
      <c r="K41">
        <v>9828</v>
      </c>
      <c r="L41">
        <v>0</v>
      </c>
      <c r="M41">
        <v>9828</v>
      </c>
      <c r="N41">
        <v>1</v>
      </c>
    </row>
    <row r="42" spans="1:14" x14ac:dyDescent="0.2">
      <c r="A42" t="s">
        <v>42</v>
      </c>
      <c r="B42" t="s">
        <v>462</v>
      </c>
      <c r="C42" t="s">
        <v>175</v>
      </c>
      <c r="D42">
        <v>1</v>
      </c>
      <c r="G42">
        <v>0.108108108108108</v>
      </c>
      <c r="H42">
        <v>0</v>
      </c>
      <c r="I42">
        <v>0.01</v>
      </c>
      <c r="J42">
        <v>0</v>
      </c>
      <c r="K42">
        <v>188</v>
      </c>
      <c r="L42">
        <v>0</v>
      </c>
      <c r="M42">
        <v>1880</v>
      </c>
      <c r="N42">
        <v>1</v>
      </c>
    </row>
    <row r="43" spans="1:14" x14ac:dyDescent="0.2">
      <c r="A43" t="s">
        <v>42</v>
      </c>
      <c r="B43" t="s">
        <v>462</v>
      </c>
      <c r="C43" t="s">
        <v>175</v>
      </c>
      <c r="D43">
        <v>2</v>
      </c>
      <c r="G43">
        <v>0.157407407407407</v>
      </c>
      <c r="H43">
        <v>0</v>
      </c>
      <c r="I43">
        <v>0.02</v>
      </c>
      <c r="J43">
        <v>0</v>
      </c>
      <c r="K43">
        <v>376</v>
      </c>
      <c r="L43">
        <v>0</v>
      </c>
      <c r="M43">
        <v>1880</v>
      </c>
      <c r="N43">
        <v>1</v>
      </c>
    </row>
    <row r="44" spans="1:14" x14ac:dyDescent="0.2">
      <c r="A44" t="s">
        <v>42</v>
      </c>
      <c r="B44" t="s">
        <v>462</v>
      </c>
      <c r="C44" t="s">
        <v>175</v>
      </c>
      <c r="D44">
        <v>3</v>
      </c>
      <c r="G44">
        <v>0.164609053497942</v>
      </c>
      <c r="H44">
        <v>0</v>
      </c>
      <c r="I44">
        <v>0.03</v>
      </c>
      <c r="J44">
        <v>0</v>
      </c>
      <c r="K44">
        <v>564</v>
      </c>
      <c r="L44">
        <v>0</v>
      </c>
      <c r="M44">
        <v>1880</v>
      </c>
      <c r="N44">
        <v>1</v>
      </c>
    </row>
    <row r="45" spans="1:14" x14ac:dyDescent="0.2">
      <c r="A45" t="s">
        <v>42</v>
      </c>
      <c r="B45" t="s">
        <v>462</v>
      </c>
      <c r="C45" t="s">
        <v>175</v>
      </c>
      <c r="D45">
        <v>4</v>
      </c>
      <c r="G45">
        <v>0.17124513618677001</v>
      </c>
      <c r="H45">
        <v>0</v>
      </c>
      <c r="I45">
        <v>0.04</v>
      </c>
      <c r="J45">
        <v>0</v>
      </c>
      <c r="K45">
        <v>752</v>
      </c>
      <c r="L45">
        <v>0</v>
      </c>
      <c r="M45">
        <v>1880</v>
      </c>
      <c r="N45">
        <v>1</v>
      </c>
    </row>
    <row r="46" spans="1:14" x14ac:dyDescent="0.2">
      <c r="A46" t="s">
        <v>42</v>
      </c>
      <c r="B46" t="s">
        <v>462</v>
      </c>
      <c r="C46" t="s">
        <v>175</v>
      </c>
      <c r="D46">
        <v>5</v>
      </c>
      <c r="G46">
        <v>0.20462046204620499</v>
      </c>
      <c r="H46">
        <v>0</v>
      </c>
      <c r="I46">
        <v>0.05</v>
      </c>
      <c r="J46">
        <v>0</v>
      </c>
      <c r="K46">
        <v>940</v>
      </c>
      <c r="L46">
        <v>0</v>
      </c>
      <c r="M46">
        <v>1880</v>
      </c>
      <c r="N46">
        <v>1</v>
      </c>
    </row>
    <row r="47" spans="1:14" x14ac:dyDescent="0.2">
      <c r="A47" t="s">
        <v>42</v>
      </c>
      <c r="B47" t="s">
        <v>462</v>
      </c>
      <c r="C47" t="s">
        <v>175</v>
      </c>
      <c r="D47">
        <v>6</v>
      </c>
      <c r="G47">
        <v>0.212430034129693</v>
      </c>
      <c r="H47">
        <v>0</v>
      </c>
      <c r="I47">
        <v>0.06</v>
      </c>
      <c r="J47">
        <v>0</v>
      </c>
      <c r="K47">
        <v>1128</v>
      </c>
      <c r="L47">
        <v>0</v>
      </c>
      <c r="M47">
        <v>1880</v>
      </c>
      <c r="N47">
        <v>1</v>
      </c>
    </row>
    <row r="48" spans="1:14" x14ac:dyDescent="0.2">
      <c r="A48" t="s">
        <v>42</v>
      </c>
      <c r="B48" t="s">
        <v>462</v>
      </c>
      <c r="C48" t="s">
        <v>175</v>
      </c>
      <c r="D48">
        <v>7</v>
      </c>
      <c r="G48">
        <v>0.21862458471760801</v>
      </c>
      <c r="H48">
        <v>0</v>
      </c>
      <c r="I48">
        <v>6.9999999999999993E-2</v>
      </c>
      <c r="J48">
        <v>0</v>
      </c>
      <c r="K48">
        <v>1316</v>
      </c>
      <c r="L48">
        <v>0</v>
      </c>
      <c r="M48">
        <v>1880</v>
      </c>
      <c r="N48">
        <v>1</v>
      </c>
    </row>
    <row r="49" spans="1:14" x14ac:dyDescent="0.2">
      <c r="A49" t="s">
        <v>42</v>
      </c>
      <c r="B49" t="s">
        <v>462</v>
      </c>
      <c r="C49" t="s">
        <v>175</v>
      </c>
      <c r="D49">
        <v>8</v>
      </c>
      <c r="G49">
        <v>0.22462046204620501</v>
      </c>
      <c r="H49">
        <v>0</v>
      </c>
      <c r="I49">
        <v>0.08</v>
      </c>
      <c r="J49">
        <v>0</v>
      </c>
      <c r="K49">
        <v>1504</v>
      </c>
      <c r="L49">
        <v>0</v>
      </c>
      <c r="M49">
        <v>1880</v>
      </c>
      <c r="N49">
        <v>1</v>
      </c>
    </row>
    <row r="50" spans="1:14" x14ac:dyDescent="0.2">
      <c r="A50" t="s">
        <v>42</v>
      </c>
      <c r="B50" t="s">
        <v>462</v>
      </c>
      <c r="C50" t="s">
        <v>175</v>
      </c>
      <c r="D50">
        <v>9</v>
      </c>
      <c r="G50">
        <v>0.22462046204620501</v>
      </c>
      <c r="H50">
        <v>0</v>
      </c>
      <c r="I50">
        <v>8.9946808510638299E-2</v>
      </c>
      <c r="J50">
        <v>0</v>
      </c>
      <c r="K50">
        <v>1691</v>
      </c>
      <c r="L50">
        <v>0</v>
      </c>
      <c r="M50">
        <v>1880</v>
      </c>
      <c r="N50">
        <v>1</v>
      </c>
    </row>
    <row r="51" spans="1:14" x14ac:dyDescent="0.2">
      <c r="A51" t="s">
        <v>42</v>
      </c>
      <c r="B51" t="s">
        <v>462</v>
      </c>
      <c r="C51" t="s">
        <v>175</v>
      </c>
      <c r="D51">
        <v>10</v>
      </c>
      <c r="G51">
        <v>0.22462046204620501</v>
      </c>
      <c r="H51">
        <v>0</v>
      </c>
      <c r="I51">
        <v>8.9946808510638299E-2</v>
      </c>
      <c r="J51">
        <v>0</v>
      </c>
      <c r="K51">
        <v>1691</v>
      </c>
      <c r="L51">
        <v>0</v>
      </c>
      <c r="M51">
        <v>1880</v>
      </c>
      <c r="N51">
        <v>1</v>
      </c>
    </row>
    <row r="52" spans="1:14" x14ac:dyDescent="0.2">
      <c r="A52" t="s">
        <v>42</v>
      </c>
      <c r="B52" t="s">
        <v>463</v>
      </c>
      <c r="C52" t="s">
        <v>228</v>
      </c>
      <c r="D52">
        <v>1</v>
      </c>
      <c r="F52">
        <v>5.2</v>
      </c>
      <c r="G52">
        <v>0.17699115044247801</v>
      </c>
      <c r="H52">
        <v>0</v>
      </c>
      <c r="I52">
        <v>1.8989361702127661E-2</v>
      </c>
      <c r="J52">
        <v>0</v>
      </c>
      <c r="K52">
        <v>357</v>
      </c>
      <c r="L52">
        <v>0</v>
      </c>
      <c r="M52">
        <v>1880</v>
      </c>
      <c r="N52">
        <v>1</v>
      </c>
    </row>
    <row r="53" spans="1:14" x14ac:dyDescent="0.2">
      <c r="A53" t="s">
        <v>42</v>
      </c>
      <c r="B53" t="s">
        <v>463</v>
      </c>
      <c r="C53" t="s">
        <v>228</v>
      </c>
      <c r="D53">
        <v>2</v>
      </c>
      <c r="F53">
        <v>6.4</v>
      </c>
      <c r="G53">
        <v>0.21399176954732499</v>
      </c>
      <c r="H53">
        <v>0</v>
      </c>
      <c r="I53">
        <v>2.7978723404255321E-2</v>
      </c>
      <c r="J53">
        <v>0</v>
      </c>
      <c r="K53">
        <v>526</v>
      </c>
      <c r="L53">
        <v>0</v>
      </c>
      <c r="M53">
        <v>1880</v>
      </c>
      <c r="N53">
        <v>1</v>
      </c>
    </row>
    <row r="54" spans="1:14" x14ac:dyDescent="0.2">
      <c r="A54" t="s">
        <v>42</v>
      </c>
      <c r="B54" t="s">
        <v>463</v>
      </c>
      <c r="C54" t="s">
        <v>228</v>
      </c>
      <c r="D54">
        <v>3</v>
      </c>
      <c r="F54">
        <v>7.7</v>
      </c>
      <c r="G54">
        <v>0.22462046204620501</v>
      </c>
      <c r="H54">
        <v>0</v>
      </c>
      <c r="I54">
        <v>3.6968085106382977E-2</v>
      </c>
      <c r="J54">
        <v>0</v>
      </c>
      <c r="K54">
        <v>695</v>
      </c>
      <c r="L54">
        <v>0</v>
      </c>
      <c r="M54">
        <v>1880</v>
      </c>
      <c r="N54">
        <v>1</v>
      </c>
    </row>
    <row r="55" spans="1:14" x14ac:dyDescent="0.2">
      <c r="A55" t="s">
        <v>42</v>
      </c>
      <c r="B55" t="s">
        <v>463</v>
      </c>
      <c r="C55" t="s">
        <v>228</v>
      </c>
      <c r="D55">
        <v>4</v>
      </c>
      <c r="F55">
        <v>8.6999999999999993</v>
      </c>
      <c r="G55">
        <v>0.22694117647058801</v>
      </c>
      <c r="H55">
        <v>0</v>
      </c>
      <c r="I55">
        <v>4.6010638297872337E-2</v>
      </c>
      <c r="J55">
        <v>0</v>
      </c>
      <c r="K55">
        <v>865</v>
      </c>
      <c r="L55">
        <v>0</v>
      </c>
      <c r="M55">
        <v>1880</v>
      </c>
      <c r="N55">
        <v>1</v>
      </c>
    </row>
    <row r="56" spans="1:14" x14ac:dyDescent="0.2">
      <c r="A56" t="s">
        <v>42</v>
      </c>
      <c r="B56" t="s">
        <v>463</v>
      </c>
      <c r="C56" t="s">
        <v>228</v>
      </c>
      <c r="D56">
        <v>5</v>
      </c>
      <c r="F56">
        <v>9.4</v>
      </c>
      <c r="G56">
        <v>0.22626760563380299</v>
      </c>
      <c r="H56">
        <v>0</v>
      </c>
      <c r="I56">
        <v>5.5000000000000007E-2</v>
      </c>
      <c r="J56">
        <v>0</v>
      </c>
      <c r="K56">
        <v>1034</v>
      </c>
      <c r="L56">
        <v>0</v>
      </c>
      <c r="M56">
        <v>1880</v>
      </c>
      <c r="N56">
        <v>1</v>
      </c>
    </row>
    <row r="57" spans="1:14" x14ac:dyDescent="0.2">
      <c r="A57" t="s">
        <v>42</v>
      </c>
      <c r="B57" t="s">
        <v>463</v>
      </c>
      <c r="C57" t="s">
        <v>228</v>
      </c>
      <c r="D57">
        <v>6</v>
      </c>
      <c r="F57">
        <v>10.3</v>
      </c>
      <c r="G57">
        <v>0.227949152542373</v>
      </c>
      <c r="H57">
        <v>0</v>
      </c>
      <c r="I57">
        <v>6.3989361702127656E-2</v>
      </c>
      <c r="J57">
        <v>0</v>
      </c>
      <c r="K57">
        <v>1203</v>
      </c>
      <c r="L57">
        <v>0</v>
      </c>
      <c r="M57">
        <v>1880</v>
      </c>
      <c r="N57">
        <v>1</v>
      </c>
    </row>
    <row r="58" spans="1:14" x14ac:dyDescent="0.2">
      <c r="A58" t="s">
        <v>42</v>
      </c>
      <c r="B58" t="s">
        <v>463</v>
      </c>
      <c r="C58" t="s">
        <v>228</v>
      </c>
      <c r="D58">
        <v>7</v>
      </c>
      <c r="F58">
        <v>11.3</v>
      </c>
      <c r="G58">
        <v>0.233333333333333</v>
      </c>
      <c r="H58">
        <v>0</v>
      </c>
      <c r="I58">
        <v>7.2978723404255319E-2</v>
      </c>
      <c r="J58">
        <v>0</v>
      </c>
      <c r="K58">
        <v>1372</v>
      </c>
      <c r="L58">
        <v>0</v>
      </c>
      <c r="M58">
        <v>1880</v>
      </c>
      <c r="N58">
        <v>1</v>
      </c>
    </row>
    <row r="59" spans="1:14" x14ac:dyDescent="0.2">
      <c r="A59" t="s">
        <v>42</v>
      </c>
      <c r="B59" t="s">
        <v>463</v>
      </c>
      <c r="C59" t="s">
        <v>228</v>
      </c>
      <c r="D59">
        <v>8</v>
      </c>
      <c r="F59">
        <v>12.6</v>
      </c>
      <c r="G59">
        <v>0.233333333333333</v>
      </c>
      <c r="H59">
        <v>0</v>
      </c>
      <c r="I59">
        <v>8.1808510638297874E-2</v>
      </c>
      <c r="J59">
        <v>0</v>
      </c>
      <c r="K59">
        <v>1538</v>
      </c>
      <c r="L59">
        <v>0</v>
      </c>
      <c r="M59">
        <v>1880</v>
      </c>
      <c r="N59">
        <v>1</v>
      </c>
    </row>
    <row r="60" spans="1:14" x14ac:dyDescent="0.2">
      <c r="A60" t="s">
        <v>42</v>
      </c>
      <c r="B60" t="s">
        <v>463</v>
      </c>
      <c r="C60" t="s">
        <v>228</v>
      </c>
      <c r="D60">
        <v>9</v>
      </c>
      <c r="F60">
        <v>13.7</v>
      </c>
      <c r="G60">
        <v>0.28000000000000003</v>
      </c>
      <c r="H60">
        <v>0</v>
      </c>
      <c r="I60">
        <v>9.0957446808510645E-2</v>
      </c>
      <c r="J60">
        <v>0</v>
      </c>
      <c r="K60">
        <v>1710</v>
      </c>
      <c r="L60">
        <v>0</v>
      </c>
      <c r="M60">
        <v>1880</v>
      </c>
      <c r="N60">
        <v>1</v>
      </c>
    </row>
    <row r="61" spans="1:14" x14ac:dyDescent="0.2">
      <c r="A61" t="s">
        <v>42</v>
      </c>
      <c r="B61" t="s">
        <v>464</v>
      </c>
      <c r="C61" t="s">
        <v>465</v>
      </c>
      <c r="D61">
        <v>10</v>
      </c>
      <c r="G61">
        <v>0.318</v>
      </c>
      <c r="H61">
        <v>0</v>
      </c>
      <c r="I61">
        <v>0.1</v>
      </c>
      <c r="J61">
        <v>0</v>
      </c>
      <c r="K61">
        <v>1880</v>
      </c>
      <c r="L61">
        <v>0</v>
      </c>
      <c r="M61">
        <v>1880</v>
      </c>
      <c r="N61">
        <v>1</v>
      </c>
    </row>
    <row r="62" spans="1:14" x14ac:dyDescent="0.2">
      <c r="A62" t="s">
        <v>39</v>
      </c>
      <c r="B62" t="s">
        <v>462</v>
      </c>
      <c r="C62" t="s">
        <v>175</v>
      </c>
      <c r="D62">
        <v>1</v>
      </c>
      <c r="G62">
        <v>0.47058823529411797</v>
      </c>
      <c r="H62">
        <v>0</v>
      </c>
      <c r="I62">
        <v>0.01</v>
      </c>
      <c r="J62">
        <v>0</v>
      </c>
      <c r="K62">
        <v>25</v>
      </c>
      <c r="L62">
        <v>0</v>
      </c>
      <c r="M62">
        <v>250</v>
      </c>
      <c r="N62">
        <v>1</v>
      </c>
    </row>
    <row r="63" spans="1:14" x14ac:dyDescent="0.2">
      <c r="A63" t="s">
        <v>39</v>
      </c>
      <c r="B63" t="s">
        <v>462</v>
      </c>
      <c r="C63" t="s">
        <v>175</v>
      </c>
      <c r="D63">
        <v>2</v>
      </c>
      <c r="G63">
        <v>0.55555555555555602</v>
      </c>
      <c r="H63">
        <v>0</v>
      </c>
      <c r="I63">
        <v>0.02</v>
      </c>
      <c r="J63">
        <v>0</v>
      </c>
      <c r="K63">
        <v>50</v>
      </c>
      <c r="L63">
        <v>0</v>
      </c>
      <c r="M63">
        <v>250</v>
      </c>
      <c r="N63">
        <v>1</v>
      </c>
    </row>
    <row r="64" spans="1:14" x14ac:dyDescent="0.2">
      <c r="A64" s="16" t="s">
        <v>39</v>
      </c>
      <c r="B64" s="16" t="s">
        <v>462</v>
      </c>
      <c r="C64" s="16" t="s">
        <v>175</v>
      </c>
      <c r="D64" s="16">
        <v>3</v>
      </c>
      <c r="E64" s="16"/>
      <c r="F64" s="16"/>
      <c r="G64" s="16">
        <v>0.66666666666666696</v>
      </c>
      <c r="H64">
        <v>0</v>
      </c>
      <c r="I64">
        <v>0.03</v>
      </c>
      <c r="J64">
        <v>0</v>
      </c>
      <c r="K64">
        <v>75</v>
      </c>
      <c r="L64">
        <v>0</v>
      </c>
      <c r="M64">
        <v>250</v>
      </c>
      <c r="N64">
        <v>1</v>
      </c>
    </row>
    <row r="65" spans="1:14" x14ac:dyDescent="0.2">
      <c r="A65" t="s">
        <v>39</v>
      </c>
      <c r="B65" t="s">
        <v>462</v>
      </c>
      <c r="C65" t="s">
        <v>175</v>
      </c>
      <c r="D65">
        <v>4</v>
      </c>
      <c r="G65">
        <v>0.66666666666666696</v>
      </c>
      <c r="H65">
        <v>0</v>
      </c>
      <c r="I65">
        <v>0.04</v>
      </c>
      <c r="J65">
        <v>0</v>
      </c>
      <c r="K65">
        <v>100</v>
      </c>
      <c r="L65">
        <v>0</v>
      </c>
      <c r="M65">
        <v>250</v>
      </c>
      <c r="N65">
        <v>1</v>
      </c>
    </row>
    <row r="66" spans="1:14" x14ac:dyDescent="0.2">
      <c r="A66" t="s">
        <v>39</v>
      </c>
      <c r="B66" t="s">
        <v>462</v>
      </c>
      <c r="C66" t="s">
        <v>175</v>
      </c>
      <c r="D66">
        <v>5</v>
      </c>
      <c r="G66">
        <v>0.66666666666666696</v>
      </c>
      <c r="H66">
        <v>0</v>
      </c>
      <c r="I66">
        <v>0.05</v>
      </c>
      <c r="J66">
        <v>0</v>
      </c>
      <c r="K66">
        <v>125</v>
      </c>
      <c r="L66">
        <v>0</v>
      </c>
      <c r="M66">
        <v>250</v>
      </c>
      <c r="N66">
        <v>1</v>
      </c>
    </row>
    <row r="67" spans="1:14" x14ac:dyDescent="0.2">
      <c r="A67" t="s">
        <v>39</v>
      </c>
      <c r="B67" t="s">
        <v>462</v>
      </c>
      <c r="C67" t="s">
        <v>175</v>
      </c>
      <c r="D67">
        <v>6</v>
      </c>
      <c r="G67">
        <v>0.66666666666666696</v>
      </c>
      <c r="H67">
        <v>0</v>
      </c>
      <c r="I67">
        <v>0.06</v>
      </c>
      <c r="J67">
        <v>0</v>
      </c>
      <c r="K67">
        <v>150</v>
      </c>
      <c r="L67">
        <v>0</v>
      </c>
      <c r="M67">
        <v>250</v>
      </c>
      <c r="N67">
        <v>1</v>
      </c>
    </row>
    <row r="68" spans="1:14" x14ac:dyDescent="0.2">
      <c r="A68" t="s">
        <v>39</v>
      </c>
      <c r="B68" t="s">
        <v>462</v>
      </c>
      <c r="C68" t="s">
        <v>175</v>
      </c>
      <c r="D68">
        <v>7</v>
      </c>
      <c r="G68">
        <v>0.66666666666666696</v>
      </c>
      <c r="H68">
        <v>0</v>
      </c>
      <c r="I68">
        <v>6.9999999999999993E-2</v>
      </c>
      <c r="J68">
        <v>0</v>
      </c>
      <c r="K68">
        <v>175</v>
      </c>
      <c r="L68">
        <v>0</v>
      </c>
      <c r="M68">
        <v>250</v>
      </c>
      <c r="N68">
        <v>1</v>
      </c>
    </row>
    <row r="69" spans="1:14" x14ac:dyDescent="0.2">
      <c r="A69" t="s">
        <v>39</v>
      </c>
      <c r="B69" t="s">
        <v>462</v>
      </c>
      <c r="C69" t="s">
        <v>175</v>
      </c>
      <c r="D69">
        <v>8</v>
      </c>
      <c r="G69">
        <v>0.66666666666666696</v>
      </c>
      <c r="H69">
        <v>0</v>
      </c>
      <c r="I69">
        <v>0.08</v>
      </c>
      <c r="J69">
        <v>0</v>
      </c>
      <c r="K69">
        <v>200</v>
      </c>
      <c r="L69">
        <v>0</v>
      </c>
      <c r="M69">
        <v>250</v>
      </c>
      <c r="N69">
        <v>1</v>
      </c>
    </row>
    <row r="70" spans="1:14" x14ac:dyDescent="0.2">
      <c r="A70" t="s">
        <v>39</v>
      </c>
      <c r="B70" t="s">
        <v>462</v>
      </c>
      <c r="C70" t="s">
        <v>175</v>
      </c>
      <c r="D70">
        <v>9</v>
      </c>
      <c r="G70">
        <v>0.66666666666666696</v>
      </c>
      <c r="H70">
        <v>0</v>
      </c>
      <c r="I70">
        <v>0.09</v>
      </c>
      <c r="J70">
        <v>0</v>
      </c>
      <c r="K70">
        <v>225</v>
      </c>
      <c r="L70">
        <v>0</v>
      </c>
      <c r="M70">
        <v>250</v>
      </c>
      <c r="N70">
        <v>1</v>
      </c>
    </row>
    <row r="71" spans="1:14" x14ac:dyDescent="0.2">
      <c r="A71" t="s">
        <v>39</v>
      </c>
      <c r="B71" t="s">
        <v>462</v>
      </c>
      <c r="C71" t="s">
        <v>175</v>
      </c>
      <c r="D71">
        <v>10</v>
      </c>
      <c r="G71">
        <v>0.66666666666666696</v>
      </c>
      <c r="H71">
        <v>0</v>
      </c>
      <c r="I71">
        <v>0.09</v>
      </c>
      <c r="J71">
        <v>0</v>
      </c>
      <c r="K71">
        <v>225</v>
      </c>
      <c r="L71">
        <v>0</v>
      </c>
      <c r="M71">
        <v>250</v>
      </c>
      <c r="N71">
        <v>1</v>
      </c>
    </row>
    <row r="72" spans="1:14" x14ac:dyDescent="0.2">
      <c r="A72" t="s">
        <v>39</v>
      </c>
      <c r="B72" t="s">
        <v>463</v>
      </c>
      <c r="C72" t="s">
        <v>228</v>
      </c>
      <c r="D72">
        <v>1</v>
      </c>
      <c r="F72">
        <v>2.2999999999999998</v>
      </c>
      <c r="G72" s="16">
        <v>0.66666666666666696</v>
      </c>
      <c r="H72">
        <v>0</v>
      </c>
      <c r="I72">
        <v>0.01</v>
      </c>
      <c r="J72">
        <v>0</v>
      </c>
      <c r="K72">
        <v>25</v>
      </c>
      <c r="L72">
        <v>0</v>
      </c>
      <c r="M72">
        <v>250</v>
      </c>
      <c r="N72">
        <v>1</v>
      </c>
    </row>
    <row r="73" spans="1:14" x14ac:dyDescent="0.2">
      <c r="A73" t="s">
        <v>39</v>
      </c>
      <c r="B73" t="s">
        <v>463</v>
      </c>
      <c r="C73" t="s">
        <v>228</v>
      </c>
      <c r="D73">
        <v>2</v>
      </c>
      <c r="F73">
        <v>4</v>
      </c>
      <c r="G73" s="16">
        <v>0.66666666666666696</v>
      </c>
      <c r="H73">
        <v>0</v>
      </c>
      <c r="I73">
        <v>0.02</v>
      </c>
      <c r="J73">
        <v>0</v>
      </c>
      <c r="K73">
        <v>50</v>
      </c>
      <c r="L73">
        <v>0</v>
      </c>
      <c r="M73">
        <v>250</v>
      </c>
      <c r="N73">
        <v>1</v>
      </c>
    </row>
    <row r="74" spans="1:14" x14ac:dyDescent="0.2">
      <c r="A74" s="16" t="s">
        <v>39</v>
      </c>
      <c r="B74" s="16" t="s">
        <v>463</v>
      </c>
      <c r="C74" s="16" t="s">
        <v>228</v>
      </c>
      <c r="D74" s="16">
        <v>3</v>
      </c>
      <c r="E74" s="16"/>
      <c r="F74" s="16">
        <v>5.2</v>
      </c>
      <c r="G74" s="16">
        <v>0.66666666666666696</v>
      </c>
      <c r="H74">
        <v>0</v>
      </c>
      <c r="I74">
        <v>3.7199999999999997E-2</v>
      </c>
      <c r="J74">
        <v>0</v>
      </c>
      <c r="K74">
        <v>93</v>
      </c>
      <c r="L74">
        <v>0</v>
      </c>
      <c r="M74">
        <v>250</v>
      </c>
      <c r="N74">
        <v>1</v>
      </c>
    </row>
    <row r="75" spans="1:14" x14ac:dyDescent="0.2">
      <c r="A75" t="s">
        <v>39</v>
      </c>
      <c r="B75" t="s">
        <v>463</v>
      </c>
      <c r="C75" t="s">
        <v>228</v>
      </c>
      <c r="D75">
        <v>4</v>
      </c>
      <c r="F75">
        <v>6.2</v>
      </c>
      <c r="G75">
        <v>0.66666666666666696</v>
      </c>
      <c r="H75">
        <v>0</v>
      </c>
      <c r="I75">
        <v>4.5999999999999999E-2</v>
      </c>
      <c r="J75">
        <v>0</v>
      </c>
      <c r="K75">
        <v>115</v>
      </c>
      <c r="L75">
        <v>0</v>
      </c>
      <c r="M75">
        <v>250</v>
      </c>
      <c r="N75">
        <v>1</v>
      </c>
    </row>
    <row r="76" spans="1:14" x14ac:dyDescent="0.2">
      <c r="A76" t="s">
        <v>39</v>
      </c>
      <c r="B76" t="s">
        <v>463</v>
      </c>
      <c r="C76" t="s">
        <v>228</v>
      </c>
      <c r="D76">
        <v>5</v>
      </c>
      <c r="F76">
        <v>7.5</v>
      </c>
      <c r="G76">
        <v>0.86</v>
      </c>
      <c r="H76">
        <v>0</v>
      </c>
      <c r="I76">
        <v>5.4800000000000001E-2</v>
      </c>
      <c r="J76">
        <v>0</v>
      </c>
      <c r="K76">
        <v>137</v>
      </c>
      <c r="L76">
        <v>0</v>
      </c>
      <c r="M76">
        <v>250</v>
      </c>
      <c r="N76">
        <v>1</v>
      </c>
    </row>
    <row r="77" spans="1:14" x14ac:dyDescent="0.2">
      <c r="A77" t="s">
        <v>39</v>
      </c>
      <c r="B77" t="s">
        <v>463</v>
      </c>
      <c r="C77" t="s">
        <v>228</v>
      </c>
      <c r="D77">
        <v>6</v>
      </c>
      <c r="F77">
        <v>8.9</v>
      </c>
      <c r="G77">
        <v>0.86</v>
      </c>
      <c r="H77">
        <v>0</v>
      </c>
      <c r="I77">
        <v>6.4000000000000001E-2</v>
      </c>
      <c r="J77">
        <v>0</v>
      </c>
      <c r="K77">
        <v>160</v>
      </c>
      <c r="L77">
        <v>0</v>
      </c>
      <c r="M77">
        <v>250</v>
      </c>
      <c r="N77">
        <v>1</v>
      </c>
    </row>
    <row r="78" spans="1:14" x14ac:dyDescent="0.2">
      <c r="A78" t="s">
        <v>39</v>
      </c>
      <c r="B78" t="s">
        <v>463</v>
      </c>
      <c r="C78" t="s">
        <v>228</v>
      </c>
      <c r="D78">
        <v>7</v>
      </c>
      <c r="F78">
        <v>9.5</v>
      </c>
      <c r="G78">
        <v>0.86</v>
      </c>
      <c r="H78">
        <v>0</v>
      </c>
      <c r="I78">
        <v>7.3200000000000001E-2</v>
      </c>
      <c r="J78">
        <v>0</v>
      </c>
      <c r="K78">
        <v>183</v>
      </c>
      <c r="L78">
        <v>0</v>
      </c>
      <c r="M78">
        <v>250</v>
      </c>
      <c r="N78">
        <v>1</v>
      </c>
    </row>
    <row r="79" spans="1:14" x14ac:dyDescent="0.2">
      <c r="A79" t="s">
        <v>39</v>
      </c>
      <c r="B79" t="s">
        <v>463</v>
      </c>
      <c r="C79" t="s">
        <v>228</v>
      </c>
      <c r="D79">
        <v>8</v>
      </c>
      <c r="F79">
        <v>10.4</v>
      </c>
      <c r="G79">
        <v>0.86</v>
      </c>
      <c r="H79">
        <v>0</v>
      </c>
      <c r="I79">
        <v>0.08</v>
      </c>
      <c r="J79">
        <v>0</v>
      </c>
      <c r="K79">
        <v>200</v>
      </c>
      <c r="L79">
        <v>0</v>
      </c>
      <c r="M79">
        <v>250</v>
      </c>
      <c r="N79">
        <v>1</v>
      </c>
    </row>
    <row r="80" spans="1:14" x14ac:dyDescent="0.2">
      <c r="A80" t="s">
        <v>39</v>
      </c>
      <c r="B80" t="s">
        <v>463</v>
      </c>
      <c r="C80" t="s">
        <v>228</v>
      </c>
      <c r="D80">
        <v>9</v>
      </c>
      <c r="F80">
        <v>11.3</v>
      </c>
      <c r="G80">
        <v>0.86</v>
      </c>
      <c r="H80">
        <v>0</v>
      </c>
      <c r="I80">
        <v>0.09</v>
      </c>
      <c r="J80">
        <v>0</v>
      </c>
      <c r="K80">
        <v>225</v>
      </c>
      <c r="L80">
        <v>0</v>
      </c>
      <c r="M80">
        <v>250</v>
      </c>
      <c r="N80">
        <v>1</v>
      </c>
    </row>
    <row r="81" spans="1:14" x14ac:dyDescent="0.2">
      <c r="A81" t="s">
        <v>39</v>
      </c>
      <c r="B81" t="s">
        <v>464</v>
      </c>
      <c r="C81" t="s">
        <v>465</v>
      </c>
      <c r="D81">
        <v>10</v>
      </c>
      <c r="G81">
        <v>0.54500000000000004</v>
      </c>
      <c r="H81">
        <v>0</v>
      </c>
      <c r="I81">
        <v>0.1</v>
      </c>
      <c r="J81">
        <v>0</v>
      </c>
      <c r="K81">
        <v>250</v>
      </c>
      <c r="L81">
        <v>0</v>
      </c>
      <c r="M81">
        <v>250</v>
      </c>
      <c r="N81">
        <v>1</v>
      </c>
    </row>
    <row r="82" spans="1:14" x14ac:dyDescent="0.2">
      <c r="A82" t="s">
        <v>35</v>
      </c>
      <c r="B82" t="s">
        <v>462</v>
      </c>
      <c r="C82" t="s">
        <v>175</v>
      </c>
      <c r="D82">
        <v>1</v>
      </c>
      <c r="G82" s="9">
        <v>0.22767857142857101</v>
      </c>
    </row>
    <row r="83" spans="1:14" x14ac:dyDescent="0.2">
      <c r="A83" t="s">
        <v>35</v>
      </c>
      <c r="B83" t="s">
        <v>462</v>
      </c>
      <c r="C83" t="s">
        <v>175</v>
      </c>
      <c r="D83">
        <v>2</v>
      </c>
      <c r="G83" s="9">
        <v>0.22767857142857101</v>
      </c>
    </row>
    <row r="84" spans="1:14" x14ac:dyDescent="0.2">
      <c r="A84" t="s">
        <v>35</v>
      </c>
      <c r="B84" t="s">
        <v>462</v>
      </c>
      <c r="C84" t="s">
        <v>175</v>
      </c>
      <c r="D84">
        <v>3</v>
      </c>
      <c r="G84" s="9">
        <v>0.228699551569507</v>
      </c>
    </row>
    <row r="85" spans="1:14" x14ac:dyDescent="0.2">
      <c r="A85" t="s">
        <v>35</v>
      </c>
      <c r="B85" t="s">
        <v>462</v>
      </c>
      <c r="C85" t="s">
        <v>175</v>
      </c>
      <c r="D85">
        <v>4</v>
      </c>
      <c r="G85" s="9">
        <v>0.26544401544401502</v>
      </c>
    </row>
    <row r="86" spans="1:14" x14ac:dyDescent="0.2">
      <c r="A86" t="s">
        <v>35</v>
      </c>
      <c r="B86" t="s">
        <v>462</v>
      </c>
      <c r="C86" t="s">
        <v>175</v>
      </c>
      <c r="D86">
        <v>5</v>
      </c>
      <c r="G86" s="9">
        <v>0.26716109003104499</v>
      </c>
    </row>
    <row r="87" spans="1:14" x14ac:dyDescent="0.2">
      <c r="A87" t="s">
        <v>35</v>
      </c>
      <c r="B87" t="s">
        <v>462</v>
      </c>
      <c r="C87" t="s">
        <v>175</v>
      </c>
      <c r="D87">
        <v>6</v>
      </c>
      <c r="G87" s="9">
        <v>0.28999999999999998</v>
      </c>
    </row>
    <row r="88" spans="1:14" x14ac:dyDescent="0.2">
      <c r="A88" t="s">
        <v>35</v>
      </c>
      <c r="B88" t="s">
        <v>462</v>
      </c>
      <c r="C88" t="s">
        <v>175</v>
      </c>
      <c r="D88">
        <v>7</v>
      </c>
      <c r="G88" s="9">
        <v>0.29993535875888799</v>
      </c>
    </row>
    <row r="89" spans="1:14" x14ac:dyDescent="0.2">
      <c r="A89" t="s">
        <v>35</v>
      </c>
      <c r="B89" t="s">
        <v>462</v>
      </c>
      <c r="C89" t="s">
        <v>175</v>
      </c>
      <c r="D89">
        <v>8</v>
      </c>
      <c r="G89" s="9">
        <v>0.30099999999999999</v>
      </c>
    </row>
    <row r="90" spans="1:14" x14ac:dyDescent="0.2">
      <c r="A90" t="s">
        <v>35</v>
      </c>
      <c r="B90" t="s">
        <v>462</v>
      </c>
      <c r="C90" t="s">
        <v>175</v>
      </c>
      <c r="D90">
        <v>9</v>
      </c>
      <c r="G90" s="9">
        <v>0.32434360730593598</v>
      </c>
    </row>
    <row r="91" spans="1:14" x14ac:dyDescent="0.2">
      <c r="A91" t="s">
        <v>35</v>
      </c>
      <c r="B91" t="s">
        <v>462</v>
      </c>
      <c r="C91" t="s">
        <v>175</v>
      </c>
      <c r="D91">
        <v>10</v>
      </c>
      <c r="G91" s="9">
        <v>0.32434360730593598</v>
      </c>
    </row>
    <row r="92" spans="1:14" x14ac:dyDescent="0.2">
      <c r="A92" t="s">
        <v>35</v>
      </c>
      <c r="B92" t="s">
        <v>463</v>
      </c>
      <c r="C92" t="s">
        <v>228</v>
      </c>
      <c r="D92">
        <v>1</v>
      </c>
      <c r="G92" s="29">
        <v>0.22767857142857101</v>
      </c>
      <c r="H92" s="9"/>
    </row>
    <row r="93" spans="1:14" x14ac:dyDescent="0.2">
      <c r="A93" t="s">
        <v>35</v>
      </c>
      <c r="B93" t="s">
        <v>463</v>
      </c>
      <c r="C93" t="s">
        <v>228</v>
      </c>
      <c r="D93">
        <v>2</v>
      </c>
      <c r="G93" s="29">
        <v>0.22767857142857101</v>
      </c>
      <c r="H93" s="9"/>
    </row>
    <row r="94" spans="1:14" x14ac:dyDescent="0.2">
      <c r="A94" t="s">
        <v>35</v>
      </c>
      <c r="B94" t="s">
        <v>463</v>
      </c>
      <c r="C94" t="s">
        <v>228</v>
      </c>
      <c r="D94">
        <v>3</v>
      </c>
      <c r="G94" s="29">
        <v>0.228699551569507</v>
      </c>
      <c r="H94" s="9"/>
    </row>
    <row r="95" spans="1:14" x14ac:dyDescent="0.2">
      <c r="A95" t="s">
        <v>35</v>
      </c>
      <c r="B95" t="s">
        <v>463</v>
      </c>
      <c r="C95" t="s">
        <v>228</v>
      </c>
      <c r="D95">
        <v>4</v>
      </c>
      <c r="G95" s="29">
        <v>0.26544401544401502</v>
      </c>
      <c r="H95" s="9"/>
    </row>
    <row r="96" spans="1:14" x14ac:dyDescent="0.2">
      <c r="A96" t="s">
        <v>35</v>
      </c>
      <c r="B96" t="s">
        <v>463</v>
      </c>
      <c r="C96" t="s">
        <v>228</v>
      </c>
      <c r="D96">
        <v>5</v>
      </c>
      <c r="G96" s="29">
        <v>0.26716109003104499</v>
      </c>
      <c r="H96" s="9"/>
    </row>
    <row r="97" spans="1:14" x14ac:dyDescent="0.2">
      <c r="A97" t="s">
        <v>35</v>
      </c>
      <c r="B97" t="s">
        <v>463</v>
      </c>
      <c r="C97" t="s">
        <v>228</v>
      </c>
      <c r="D97">
        <v>6</v>
      </c>
      <c r="G97" s="29">
        <v>0.29499999999999998</v>
      </c>
      <c r="H97" s="9"/>
    </row>
    <row r="98" spans="1:14" x14ac:dyDescent="0.2">
      <c r="A98" t="s">
        <v>35</v>
      </c>
      <c r="B98" t="s">
        <v>463</v>
      </c>
      <c r="C98" t="s">
        <v>228</v>
      </c>
      <c r="D98">
        <v>7</v>
      </c>
      <c r="G98" s="29">
        <v>0.29993535875888799</v>
      </c>
      <c r="H98" s="9"/>
    </row>
    <row r="99" spans="1:14" x14ac:dyDescent="0.2">
      <c r="A99" t="s">
        <v>35</v>
      </c>
      <c r="B99" t="s">
        <v>463</v>
      </c>
      <c r="C99" t="s">
        <v>228</v>
      </c>
      <c r="D99">
        <v>8</v>
      </c>
      <c r="G99" s="29">
        <v>0.30120000000000002</v>
      </c>
      <c r="H99" s="9"/>
    </row>
    <row r="100" spans="1:14" x14ac:dyDescent="0.2">
      <c r="A100" t="s">
        <v>35</v>
      </c>
      <c r="B100" t="s">
        <v>463</v>
      </c>
      <c r="C100" t="s">
        <v>228</v>
      </c>
      <c r="D100">
        <v>9</v>
      </c>
      <c r="F100">
        <v>4.83</v>
      </c>
      <c r="G100" s="29">
        <v>0.44438159879336397</v>
      </c>
      <c r="H100" s="9"/>
    </row>
    <row r="101" spans="1:14" x14ac:dyDescent="0.2">
      <c r="A101" t="s">
        <v>36</v>
      </c>
      <c r="B101" t="s">
        <v>462</v>
      </c>
      <c r="C101" t="s">
        <v>175</v>
      </c>
      <c r="D101">
        <v>1</v>
      </c>
      <c r="G101" s="9">
        <v>0.436974789915966</v>
      </c>
      <c r="H101" s="9"/>
      <c r="I101">
        <v>9.9940511600237897E-3</v>
      </c>
      <c r="J101">
        <v>0</v>
      </c>
      <c r="K101">
        <v>168</v>
      </c>
      <c r="L101">
        <v>0</v>
      </c>
      <c r="M101">
        <v>1681</v>
      </c>
      <c r="N101">
        <v>1</v>
      </c>
    </row>
    <row r="102" spans="1:14" x14ac:dyDescent="0.2">
      <c r="A102" t="s">
        <v>36</v>
      </c>
      <c r="B102" t="s">
        <v>462</v>
      </c>
      <c r="C102" t="s">
        <v>175</v>
      </c>
      <c r="D102">
        <v>2</v>
      </c>
      <c r="G102" s="9">
        <v>0.68965517241379304</v>
      </c>
      <c r="H102">
        <v>0</v>
      </c>
      <c r="I102">
        <v>1.998810232004759E-2</v>
      </c>
      <c r="J102">
        <v>0</v>
      </c>
      <c r="K102">
        <v>336</v>
      </c>
      <c r="L102">
        <v>0</v>
      </c>
      <c r="M102">
        <v>1681</v>
      </c>
      <c r="N102">
        <v>1</v>
      </c>
    </row>
    <row r="103" spans="1:14" x14ac:dyDescent="0.2">
      <c r="A103" t="s">
        <v>36</v>
      </c>
      <c r="B103" t="s">
        <v>462</v>
      </c>
      <c r="C103" t="s">
        <v>175</v>
      </c>
      <c r="D103">
        <v>3</v>
      </c>
      <c r="G103" s="9">
        <v>0.71250000000000002</v>
      </c>
      <c r="H103">
        <v>0</v>
      </c>
      <c r="I103">
        <v>2.998215348007139E-2</v>
      </c>
      <c r="J103">
        <v>0</v>
      </c>
      <c r="K103">
        <v>504</v>
      </c>
      <c r="L103">
        <v>0</v>
      </c>
      <c r="M103">
        <v>1681</v>
      </c>
      <c r="N103">
        <v>1</v>
      </c>
    </row>
    <row r="104" spans="1:14" x14ac:dyDescent="0.2">
      <c r="A104" t="s">
        <v>36</v>
      </c>
      <c r="B104" t="s">
        <v>462</v>
      </c>
      <c r="C104" t="s">
        <v>175</v>
      </c>
      <c r="D104">
        <v>4</v>
      </c>
      <c r="G104" s="9">
        <v>0.752275449101796</v>
      </c>
      <c r="H104">
        <v>0</v>
      </c>
      <c r="I104">
        <v>3.997620464009518E-2</v>
      </c>
      <c r="J104">
        <v>0</v>
      </c>
      <c r="K104">
        <v>672</v>
      </c>
      <c r="L104">
        <v>0</v>
      </c>
      <c r="M104">
        <v>1681</v>
      </c>
      <c r="N104">
        <v>1</v>
      </c>
    </row>
    <row r="105" spans="1:14" x14ac:dyDescent="0.2">
      <c r="A105" t="s">
        <v>36</v>
      </c>
      <c r="B105" t="s">
        <v>462</v>
      </c>
      <c r="C105" t="s">
        <v>175</v>
      </c>
      <c r="D105">
        <v>5</v>
      </c>
      <c r="G105" s="9">
        <v>0.75869565217391299</v>
      </c>
      <c r="H105">
        <v>0</v>
      </c>
      <c r="I105">
        <v>4.9970255800118983E-2</v>
      </c>
      <c r="J105">
        <v>0</v>
      </c>
      <c r="K105">
        <v>840</v>
      </c>
      <c r="L105">
        <v>0</v>
      </c>
      <c r="M105">
        <v>1681</v>
      </c>
      <c r="N105">
        <v>1</v>
      </c>
    </row>
    <row r="106" spans="1:14" x14ac:dyDescent="0.2">
      <c r="A106" t="s">
        <v>36</v>
      </c>
      <c r="B106" t="s">
        <v>462</v>
      </c>
      <c r="C106" t="s">
        <v>175</v>
      </c>
      <c r="D106">
        <v>6</v>
      </c>
      <c r="G106" s="9">
        <v>0.77573964497041403</v>
      </c>
      <c r="H106">
        <v>0</v>
      </c>
      <c r="I106">
        <v>5.996430696014278E-2</v>
      </c>
      <c r="J106">
        <v>0</v>
      </c>
      <c r="K106">
        <v>1008</v>
      </c>
      <c r="L106">
        <v>0</v>
      </c>
      <c r="M106">
        <v>1681</v>
      </c>
      <c r="N106">
        <v>1</v>
      </c>
    </row>
    <row r="107" spans="1:14" x14ac:dyDescent="0.2">
      <c r="A107" t="s">
        <v>36</v>
      </c>
      <c r="B107" t="s">
        <v>462</v>
      </c>
      <c r="C107" t="s">
        <v>175</v>
      </c>
      <c r="D107">
        <v>7</v>
      </c>
      <c r="G107" s="9">
        <v>0.79047619047619</v>
      </c>
      <c r="H107">
        <v>0</v>
      </c>
      <c r="I107">
        <v>6.9958358120166569E-2</v>
      </c>
      <c r="J107">
        <v>0</v>
      </c>
      <c r="K107">
        <v>1176</v>
      </c>
      <c r="L107">
        <v>0</v>
      </c>
      <c r="M107">
        <v>1681</v>
      </c>
      <c r="N107">
        <v>1</v>
      </c>
    </row>
    <row r="108" spans="1:14" x14ac:dyDescent="0.2">
      <c r="A108" t="s">
        <v>36</v>
      </c>
      <c r="B108" t="s">
        <v>462</v>
      </c>
      <c r="C108" t="s">
        <v>175</v>
      </c>
      <c r="D108">
        <v>8</v>
      </c>
      <c r="G108" s="9">
        <v>0.78372093023255796</v>
      </c>
      <c r="H108">
        <v>0</v>
      </c>
      <c r="I108">
        <v>7.9952409280190359E-2</v>
      </c>
      <c r="J108">
        <v>0</v>
      </c>
      <c r="K108">
        <v>1344</v>
      </c>
      <c r="L108">
        <v>0</v>
      </c>
      <c r="M108">
        <v>1681</v>
      </c>
      <c r="N108">
        <v>1</v>
      </c>
    </row>
    <row r="109" spans="1:14" x14ac:dyDescent="0.2">
      <c r="A109" t="s">
        <v>36</v>
      </c>
      <c r="B109" t="s">
        <v>462</v>
      </c>
      <c r="C109" t="s">
        <v>175</v>
      </c>
      <c r="D109">
        <v>9</v>
      </c>
      <c r="G109" s="9">
        <v>0.78235294117647103</v>
      </c>
      <c r="H109">
        <v>0</v>
      </c>
      <c r="I109">
        <v>8.9946460440214163E-2</v>
      </c>
      <c r="J109">
        <v>0</v>
      </c>
      <c r="K109">
        <v>1512</v>
      </c>
      <c r="L109">
        <v>0</v>
      </c>
      <c r="M109">
        <v>1681</v>
      </c>
      <c r="N109">
        <v>1</v>
      </c>
    </row>
    <row r="110" spans="1:14" x14ac:dyDescent="0.2">
      <c r="A110" t="s">
        <v>36</v>
      </c>
      <c r="B110" t="s">
        <v>462</v>
      </c>
      <c r="C110" t="s">
        <v>175</v>
      </c>
      <c r="D110">
        <v>10</v>
      </c>
      <c r="G110" s="9">
        <v>0.78235294117647103</v>
      </c>
      <c r="H110">
        <v>0</v>
      </c>
      <c r="I110">
        <v>8.9946460440214163E-2</v>
      </c>
      <c r="J110">
        <v>0</v>
      </c>
      <c r="K110">
        <v>1512</v>
      </c>
      <c r="L110">
        <v>0</v>
      </c>
      <c r="M110">
        <v>1681</v>
      </c>
      <c r="N110">
        <v>1</v>
      </c>
    </row>
    <row r="111" spans="1:14" x14ac:dyDescent="0.2">
      <c r="A111" t="s">
        <v>36</v>
      </c>
      <c r="B111" t="s">
        <v>463</v>
      </c>
      <c r="C111" t="s">
        <v>228</v>
      </c>
      <c r="D111">
        <v>1</v>
      </c>
      <c r="F111">
        <v>2.2999999999999998</v>
      </c>
      <c r="G111" s="9">
        <v>0.42372881400000001</v>
      </c>
      <c r="H111">
        <v>0</v>
      </c>
      <c r="I111">
        <v>1.8976799524092799E-2</v>
      </c>
      <c r="J111">
        <v>0</v>
      </c>
      <c r="K111">
        <v>319</v>
      </c>
      <c r="L111">
        <v>0</v>
      </c>
      <c r="M111">
        <v>1681</v>
      </c>
      <c r="N111">
        <v>1</v>
      </c>
    </row>
    <row r="112" spans="1:14" x14ac:dyDescent="0.2">
      <c r="A112" t="s">
        <v>36</v>
      </c>
      <c r="B112" t="s">
        <v>463</v>
      </c>
      <c r="C112" t="s">
        <v>228</v>
      </c>
      <c r="D112">
        <v>2</v>
      </c>
      <c r="F112">
        <v>3.3</v>
      </c>
      <c r="G112" s="9">
        <v>0.53543307100000004</v>
      </c>
      <c r="H112">
        <v>0</v>
      </c>
      <c r="I112">
        <v>2.7959547888161799E-2</v>
      </c>
      <c r="J112">
        <v>0</v>
      </c>
      <c r="K112">
        <v>470</v>
      </c>
      <c r="L112">
        <v>0</v>
      </c>
      <c r="M112">
        <v>1681</v>
      </c>
      <c r="N112">
        <v>1</v>
      </c>
    </row>
    <row r="113" spans="1:14" x14ac:dyDescent="0.2">
      <c r="A113" t="s">
        <v>36</v>
      </c>
      <c r="B113" t="s">
        <v>463</v>
      </c>
      <c r="C113" t="s">
        <v>228</v>
      </c>
      <c r="D113">
        <v>3</v>
      </c>
      <c r="F113">
        <v>4.5999999999999996</v>
      </c>
      <c r="G113" s="9">
        <v>0.53543307100000004</v>
      </c>
      <c r="H113">
        <v>0</v>
      </c>
      <c r="I113">
        <v>3.7001784651992858E-2</v>
      </c>
      <c r="J113">
        <v>0</v>
      </c>
      <c r="K113">
        <v>622</v>
      </c>
      <c r="L113">
        <v>0</v>
      </c>
      <c r="M113">
        <v>1681</v>
      </c>
      <c r="N113">
        <v>1</v>
      </c>
    </row>
    <row r="114" spans="1:14" x14ac:dyDescent="0.2">
      <c r="A114" t="s">
        <v>36</v>
      </c>
      <c r="B114" t="s">
        <v>463</v>
      </c>
      <c r="C114" t="s">
        <v>228</v>
      </c>
      <c r="D114">
        <v>4</v>
      </c>
      <c r="F114">
        <v>6.1</v>
      </c>
      <c r="G114" s="9">
        <v>0.64171122999999997</v>
      </c>
      <c r="H114">
        <v>0</v>
      </c>
      <c r="I114">
        <v>4.5984533016061868E-2</v>
      </c>
      <c r="J114">
        <v>0</v>
      </c>
      <c r="K114">
        <v>773</v>
      </c>
      <c r="L114">
        <v>0</v>
      </c>
      <c r="M114">
        <v>1681</v>
      </c>
      <c r="N114">
        <v>1</v>
      </c>
    </row>
    <row r="115" spans="1:14" x14ac:dyDescent="0.2">
      <c r="A115" t="s">
        <v>36</v>
      </c>
      <c r="B115" t="s">
        <v>463</v>
      </c>
      <c r="C115" t="s">
        <v>228</v>
      </c>
      <c r="D115">
        <v>5</v>
      </c>
      <c r="F115">
        <v>7.9</v>
      </c>
      <c r="G115" s="9">
        <v>0.70748299299999995</v>
      </c>
      <c r="H115">
        <v>0</v>
      </c>
      <c r="I115">
        <v>5.4967281380130871E-2</v>
      </c>
      <c r="J115">
        <v>0</v>
      </c>
      <c r="K115">
        <v>924</v>
      </c>
      <c r="L115">
        <v>0</v>
      </c>
      <c r="M115">
        <v>1681</v>
      </c>
      <c r="N115">
        <v>1</v>
      </c>
    </row>
    <row r="116" spans="1:14" x14ac:dyDescent="0.2">
      <c r="A116" t="s">
        <v>36</v>
      </c>
      <c r="B116" t="s">
        <v>463</v>
      </c>
      <c r="C116" t="s">
        <v>228</v>
      </c>
      <c r="D116">
        <v>6</v>
      </c>
      <c r="F116">
        <v>8.1999999999999993</v>
      </c>
      <c r="G116" s="9">
        <v>0.77800000000000002</v>
      </c>
      <c r="H116">
        <v>0</v>
      </c>
      <c r="I116">
        <v>6.3950029744199874E-2</v>
      </c>
      <c r="J116">
        <v>0</v>
      </c>
      <c r="K116">
        <v>1075</v>
      </c>
      <c r="L116">
        <v>0</v>
      </c>
      <c r="M116">
        <v>1681</v>
      </c>
      <c r="N116">
        <v>1</v>
      </c>
    </row>
    <row r="117" spans="1:14" x14ac:dyDescent="0.2">
      <c r="A117" t="s">
        <v>36</v>
      </c>
      <c r="B117" t="s">
        <v>463</v>
      </c>
      <c r="C117" t="s">
        <v>228</v>
      </c>
      <c r="D117">
        <v>7</v>
      </c>
      <c r="F117">
        <v>10.199999999999999</v>
      </c>
      <c r="G117" s="9">
        <v>0.78205128199999996</v>
      </c>
      <c r="H117">
        <v>0</v>
      </c>
      <c r="I117">
        <v>7.2932778108268898E-2</v>
      </c>
      <c r="J117">
        <v>0</v>
      </c>
      <c r="K117">
        <v>1226</v>
      </c>
      <c r="L117">
        <v>0</v>
      </c>
      <c r="M117">
        <v>1681</v>
      </c>
      <c r="N117">
        <v>1</v>
      </c>
    </row>
    <row r="118" spans="1:14" x14ac:dyDescent="0.2">
      <c r="A118" t="s">
        <v>36</v>
      </c>
      <c r="B118" t="s">
        <v>463</v>
      </c>
      <c r="C118" t="s">
        <v>228</v>
      </c>
      <c r="D118">
        <v>8</v>
      </c>
      <c r="F118">
        <v>9.5</v>
      </c>
      <c r="G118" s="9">
        <v>0.88</v>
      </c>
      <c r="H118">
        <v>0</v>
      </c>
      <c r="I118">
        <v>8.1975014872099933E-2</v>
      </c>
      <c r="J118">
        <v>0</v>
      </c>
      <c r="K118">
        <v>1378</v>
      </c>
      <c r="L118">
        <v>0</v>
      </c>
      <c r="M118">
        <v>1681</v>
      </c>
      <c r="N118">
        <v>1</v>
      </c>
    </row>
    <row r="119" spans="1:14" x14ac:dyDescent="0.2">
      <c r="A119" t="s">
        <v>36</v>
      </c>
      <c r="B119" t="s">
        <v>463</v>
      </c>
      <c r="C119" t="s">
        <v>228</v>
      </c>
      <c r="D119">
        <v>9</v>
      </c>
      <c r="F119">
        <v>14.2</v>
      </c>
      <c r="G119" s="9">
        <v>0.88</v>
      </c>
      <c r="H119">
        <v>0</v>
      </c>
      <c r="I119">
        <v>9.0957763236168943E-2</v>
      </c>
      <c r="J119">
        <v>0</v>
      </c>
      <c r="K119">
        <v>1529</v>
      </c>
      <c r="L119">
        <v>0</v>
      </c>
      <c r="M119">
        <v>1681</v>
      </c>
      <c r="N119">
        <v>1</v>
      </c>
    </row>
    <row r="120" spans="1:14" x14ac:dyDescent="0.2">
      <c r="A120" t="s">
        <v>36</v>
      </c>
      <c r="B120" t="s">
        <v>464</v>
      </c>
      <c r="C120" t="s">
        <v>465</v>
      </c>
      <c r="D120">
        <v>10</v>
      </c>
      <c r="G120">
        <v>0.77100000000000002</v>
      </c>
      <c r="H120">
        <v>0</v>
      </c>
      <c r="I120">
        <v>0.1</v>
      </c>
      <c r="J120">
        <v>0</v>
      </c>
      <c r="K120">
        <v>1681</v>
      </c>
      <c r="L120">
        <v>0</v>
      </c>
      <c r="M120">
        <v>1681</v>
      </c>
      <c r="N120">
        <v>1</v>
      </c>
    </row>
    <row r="121" spans="1:14" x14ac:dyDescent="0.2">
      <c r="A121" t="s">
        <v>37</v>
      </c>
      <c r="B121" t="s">
        <v>462</v>
      </c>
      <c r="C121" t="s">
        <v>175</v>
      </c>
      <c r="D121">
        <v>1</v>
      </c>
      <c r="G121">
        <v>0.45</v>
      </c>
      <c r="H121">
        <v>0</v>
      </c>
      <c r="I121">
        <v>0.01</v>
      </c>
      <c r="J121">
        <v>0</v>
      </c>
      <c r="K121">
        <v>100</v>
      </c>
      <c r="L121">
        <v>0</v>
      </c>
      <c r="M121">
        <v>1000</v>
      </c>
      <c r="N121">
        <v>1</v>
      </c>
    </row>
    <row r="122" spans="1:14" x14ac:dyDescent="0.2">
      <c r="A122" t="s">
        <v>37</v>
      </c>
      <c r="B122" t="s">
        <v>462</v>
      </c>
      <c r="C122" t="s">
        <v>175</v>
      </c>
      <c r="D122">
        <v>2</v>
      </c>
      <c r="G122">
        <v>0.48</v>
      </c>
      <c r="H122">
        <v>0</v>
      </c>
      <c r="I122">
        <v>1.9900000000000001E-2</v>
      </c>
      <c r="J122">
        <v>0</v>
      </c>
      <c r="K122">
        <v>199</v>
      </c>
      <c r="L122">
        <v>0</v>
      </c>
      <c r="M122">
        <v>1000</v>
      </c>
      <c r="N122">
        <v>1</v>
      </c>
    </row>
    <row r="123" spans="1:14" x14ac:dyDescent="0.2">
      <c r="A123" t="s">
        <v>37</v>
      </c>
      <c r="B123" t="s">
        <v>462</v>
      </c>
      <c r="C123" t="s">
        <v>175</v>
      </c>
      <c r="D123">
        <v>3</v>
      </c>
      <c r="G123">
        <v>0.51</v>
      </c>
      <c r="H123">
        <v>0</v>
      </c>
      <c r="I123">
        <v>0.03</v>
      </c>
      <c r="J123">
        <v>0</v>
      </c>
      <c r="K123">
        <v>300</v>
      </c>
      <c r="L123">
        <v>0</v>
      </c>
      <c r="M123">
        <v>1000</v>
      </c>
      <c r="N123">
        <v>1</v>
      </c>
    </row>
    <row r="124" spans="1:14" x14ac:dyDescent="0.2">
      <c r="A124" t="s">
        <v>37</v>
      </c>
      <c r="B124" t="s">
        <v>462</v>
      </c>
      <c r="C124" t="s">
        <v>175</v>
      </c>
      <c r="D124">
        <v>4</v>
      </c>
      <c r="G124">
        <v>0.53</v>
      </c>
      <c r="H124">
        <v>0</v>
      </c>
      <c r="I124">
        <v>3.9899999999999998E-2</v>
      </c>
      <c r="J124">
        <v>0</v>
      </c>
      <c r="K124">
        <v>399</v>
      </c>
      <c r="L124">
        <v>0</v>
      </c>
      <c r="M124">
        <v>1000</v>
      </c>
      <c r="N124">
        <v>1</v>
      </c>
    </row>
    <row r="125" spans="1:14" x14ac:dyDescent="0.2">
      <c r="A125" t="s">
        <v>37</v>
      </c>
      <c r="B125" t="s">
        <v>462</v>
      </c>
      <c r="C125" t="s">
        <v>175</v>
      </c>
      <c r="D125">
        <v>5</v>
      </c>
      <c r="G125">
        <v>0.55000000000000004</v>
      </c>
      <c r="H125">
        <v>0</v>
      </c>
      <c r="I125">
        <v>0.05</v>
      </c>
      <c r="J125">
        <v>0</v>
      </c>
      <c r="K125">
        <v>500</v>
      </c>
      <c r="L125">
        <v>0</v>
      </c>
      <c r="M125">
        <v>1000</v>
      </c>
      <c r="N125">
        <v>1</v>
      </c>
    </row>
    <row r="126" spans="1:14" x14ac:dyDescent="0.2">
      <c r="A126" t="s">
        <v>37</v>
      </c>
      <c r="B126" t="s">
        <v>462</v>
      </c>
      <c r="C126" t="s">
        <v>175</v>
      </c>
      <c r="D126">
        <v>6</v>
      </c>
      <c r="G126">
        <v>0.6</v>
      </c>
      <c r="H126">
        <v>0</v>
      </c>
      <c r="I126">
        <v>0.06</v>
      </c>
      <c r="J126">
        <v>0</v>
      </c>
      <c r="K126">
        <v>600</v>
      </c>
      <c r="L126">
        <v>0</v>
      </c>
      <c r="M126">
        <v>1000</v>
      </c>
      <c r="N126">
        <v>1</v>
      </c>
    </row>
    <row r="127" spans="1:14" x14ac:dyDescent="0.2">
      <c r="A127" t="s">
        <v>37</v>
      </c>
      <c r="B127" t="s">
        <v>462</v>
      </c>
      <c r="C127" t="s">
        <v>175</v>
      </c>
      <c r="D127">
        <v>7</v>
      </c>
      <c r="G127">
        <v>0.6</v>
      </c>
      <c r="H127">
        <v>0</v>
      </c>
      <c r="I127">
        <v>6.9999999999999993E-2</v>
      </c>
      <c r="J127">
        <v>0</v>
      </c>
      <c r="K127">
        <v>700</v>
      </c>
      <c r="L127">
        <v>0</v>
      </c>
      <c r="M127">
        <v>1000</v>
      </c>
      <c r="N127">
        <v>1</v>
      </c>
    </row>
    <row r="128" spans="1:14" x14ac:dyDescent="0.2">
      <c r="A128" t="s">
        <v>37</v>
      </c>
      <c r="B128" t="s">
        <v>462</v>
      </c>
      <c r="C128" t="s">
        <v>175</v>
      </c>
      <c r="D128">
        <v>8</v>
      </c>
      <c r="G128">
        <v>0.66666666666666696</v>
      </c>
      <c r="H128">
        <v>0</v>
      </c>
      <c r="I128">
        <v>0.08</v>
      </c>
      <c r="J128">
        <v>0</v>
      </c>
      <c r="K128">
        <v>800</v>
      </c>
      <c r="L128">
        <v>0</v>
      </c>
      <c r="M128">
        <v>1000</v>
      </c>
      <c r="N128">
        <v>1</v>
      </c>
    </row>
    <row r="129" spans="1:14" x14ac:dyDescent="0.2">
      <c r="A129" t="s">
        <v>37</v>
      </c>
      <c r="B129" t="s">
        <v>462</v>
      </c>
      <c r="C129" t="s">
        <v>175</v>
      </c>
      <c r="D129">
        <v>9</v>
      </c>
      <c r="G129">
        <v>0.66666666666666696</v>
      </c>
      <c r="H129">
        <v>0</v>
      </c>
      <c r="I129">
        <v>0.09</v>
      </c>
      <c r="J129">
        <v>0</v>
      </c>
      <c r="K129">
        <v>900</v>
      </c>
      <c r="L129">
        <v>0</v>
      </c>
      <c r="M129">
        <v>1000</v>
      </c>
      <c r="N129">
        <v>1</v>
      </c>
    </row>
    <row r="130" spans="1:14" x14ac:dyDescent="0.2">
      <c r="A130" t="s">
        <v>37</v>
      </c>
      <c r="B130" t="s">
        <v>462</v>
      </c>
      <c r="C130" t="s">
        <v>175</v>
      </c>
      <c r="D130">
        <v>10</v>
      </c>
      <c r="G130">
        <v>0.66666666666666696</v>
      </c>
      <c r="H130">
        <v>0</v>
      </c>
      <c r="I130">
        <v>0.09</v>
      </c>
      <c r="J130">
        <v>0</v>
      </c>
      <c r="K130">
        <v>900</v>
      </c>
      <c r="L130">
        <v>0</v>
      </c>
      <c r="M130">
        <v>1000</v>
      </c>
      <c r="N130">
        <v>1</v>
      </c>
    </row>
    <row r="131" spans="1:14" x14ac:dyDescent="0.2">
      <c r="A131" t="s">
        <v>37</v>
      </c>
      <c r="B131" t="s">
        <v>463</v>
      </c>
      <c r="C131" t="s">
        <v>228</v>
      </c>
      <c r="D131">
        <v>1</v>
      </c>
      <c r="F131">
        <v>2.2000000000000002</v>
      </c>
      <c r="G131">
        <v>0.6</v>
      </c>
      <c r="H131">
        <v>0</v>
      </c>
      <c r="I131">
        <v>0.01</v>
      </c>
      <c r="J131">
        <v>0</v>
      </c>
      <c r="K131">
        <v>100</v>
      </c>
      <c r="L131">
        <v>0</v>
      </c>
      <c r="M131">
        <v>1000</v>
      </c>
      <c r="N131">
        <v>1</v>
      </c>
    </row>
    <row r="132" spans="1:14" x14ac:dyDescent="0.2">
      <c r="A132" t="s">
        <v>37</v>
      </c>
      <c r="B132" t="s">
        <v>463</v>
      </c>
      <c r="C132" t="s">
        <v>228</v>
      </c>
      <c r="D132">
        <v>2</v>
      </c>
      <c r="F132">
        <v>3.4</v>
      </c>
      <c r="G132">
        <v>0.6</v>
      </c>
      <c r="H132">
        <v>0</v>
      </c>
      <c r="I132">
        <v>0.02</v>
      </c>
      <c r="J132">
        <v>0</v>
      </c>
      <c r="K132">
        <v>200</v>
      </c>
      <c r="L132">
        <v>0</v>
      </c>
      <c r="M132">
        <v>1000</v>
      </c>
      <c r="N132">
        <v>1</v>
      </c>
    </row>
    <row r="133" spans="1:14" x14ac:dyDescent="0.2">
      <c r="A133" t="s">
        <v>37</v>
      </c>
      <c r="B133" t="s">
        <v>463</v>
      </c>
      <c r="C133" t="s">
        <v>228</v>
      </c>
      <c r="D133">
        <v>3</v>
      </c>
      <c r="F133">
        <v>5.2</v>
      </c>
      <c r="G133">
        <v>0.6</v>
      </c>
      <c r="H133">
        <v>0</v>
      </c>
      <c r="I133">
        <v>2.98E-2</v>
      </c>
      <c r="J133">
        <v>0</v>
      </c>
      <c r="K133">
        <v>298</v>
      </c>
      <c r="L133">
        <v>0</v>
      </c>
      <c r="M133">
        <v>1000</v>
      </c>
      <c r="N133">
        <v>1</v>
      </c>
    </row>
    <row r="134" spans="1:14" x14ac:dyDescent="0.2">
      <c r="A134" t="s">
        <v>37</v>
      </c>
      <c r="B134" t="s">
        <v>463</v>
      </c>
      <c r="C134" t="s">
        <v>228</v>
      </c>
      <c r="D134">
        <v>4</v>
      </c>
      <c r="F134">
        <v>5.6</v>
      </c>
      <c r="G134">
        <v>0.6</v>
      </c>
      <c r="H134">
        <v>0</v>
      </c>
      <c r="I134">
        <v>0.04</v>
      </c>
      <c r="J134">
        <v>0</v>
      </c>
      <c r="K134">
        <v>400</v>
      </c>
      <c r="L134">
        <v>0</v>
      </c>
      <c r="M134">
        <v>1000</v>
      </c>
      <c r="N134">
        <v>1</v>
      </c>
    </row>
    <row r="135" spans="1:14" x14ac:dyDescent="0.2">
      <c r="A135" t="s">
        <v>37</v>
      </c>
      <c r="B135" t="s">
        <v>463</v>
      </c>
      <c r="C135" t="s">
        <v>228</v>
      </c>
      <c r="D135">
        <v>5</v>
      </c>
      <c r="F135">
        <v>6.7</v>
      </c>
      <c r="G135">
        <v>0.6</v>
      </c>
      <c r="H135">
        <v>0</v>
      </c>
      <c r="I135">
        <v>0.05</v>
      </c>
      <c r="J135">
        <v>0</v>
      </c>
      <c r="K135">
        <v>500</v>
      </c>
      <c r="L135">
        <v>0</v>
      </c>
      <c r="M135">
        <v>1000</v>
      </c>
      <c r="N135">
        <v>1</v>
      </c>
    </row>
    <row r="136" spans="1:14" x14ac:dyDescent="0.2">
      <c r="A136" t="s">
        <v>37</v>
      </c>
      <c r="B136" t="s">
        <v>463</v>
      </c>
      <c r="C136" t="s">
        <v>228</v>
      </c>
      <c r="D136">
        <v>6</v>
      </c>
      <c r="F136">
        <v>7.9</v>
      </c>
      <c r="G136">
        <v>0.66666666666666696</v>
      </c>
      <c r="H136">
        <v>0</v>
      </c>
      <c r="I136">
        <v>0.06</v>
      </c>
      <c r="J136">
        <v>0</v>
      </c>
      <c r="K136">
        <v>600</v>
      </c>
      <c r="L136">
        <v>0</v>
      </c>
      <c r="M136">
        <v>1000</v>
      </c>
      <c r="N136">
        <v>1</v>
      </c>
    </row>
    <row r="137" spans="1:14" x14ac:dyDescent="0.2">
      <c r="A137" t="s">
        <v>37</v>
      </c>
      <c r="B137" t="s">
        <v>463</v>
      </c>
      <c r="C137" t="s">
        <v>228</v>
      </c>
      <c r="D137">
        <v>7</v>
      </c>
      <c r="F137">
        <v>8.1999999999999993</v>
      </c>
      <c r="G137">
        <v>0.66666666666666696</v>
      </c>
      <c r="H137">
        <v>0</v>
      </c>
      <c r="I137">
        <v>6.9999999999999993E-2</v>
      </c>
      <c r="J137">
        <v>0</v>
      </c>
      <c r="K137">
        <v>700</v>
      </c>
      <c r="L137">
        <v>0</v>
      </c>
      <c r="M137">
        <v>1000</v>
      </c>
      <c r="N137">
        <v>1</v>
      </c>
    </row>
    <row r="138" spans="1:14" x14ac:dyDescent="0.2">
      <c r="A138" t="s">
        <v>37</v>
      </c>
      <c r="B138" t="s">
        <v>463</v>
      </c>
      <c r="C138" t="s">
        <v>228</v>
      </c>
      <c r="D138">
        <v>8</v>
      </c>
      <c r="F138">
        <v>9.3000000000000007</v>
      </c>
      <c r="G138">
        <v>0.66666666666666696</v>
      </c>
      <c r="H138">
        <v>0</v>
      </c>
      <c r="I138">
        <v>0.08</v>
      </c>
      <c r="J138">
        <v>0</v>
      </c>
      <c r="K138">
        <v>800</v>
      </c>
      <c r="L138">
        <v>0</v>
      </c>
      <c r="M138">
        <v>1000</v>
      </c>
      <c r="N138">
        <v>1</v>
      </c>
    </row>
    <row r="139" spans="1:14" x14ac:dyDescent="0.2">
      <c r="A139" t="s">
        <v>37</v>
      </c>
      <c r="B139" t="s">
        <v>463</v>
      </c>
      <c r="C139" t="s">
        <v>228</v>
      </c>
      <c r="D139">
        <v>9</v>
      </c>
      <c r="F139">
        <v>10.5</v>
      </c>
      <c r="G139">
        <v>0.66666666666666696</v>
      </c>
      <c r="H139">
        <v>0</v>
      </c>
      <c r="I139">
        <v>0.09</v>
      </c>
      <c r="J139">
        <v>0</v>
      </c>
      <c r="K139">
        <v>900</v>
      </c>
      <c r="L139">
        <v>0</v>
      </c>
      <c r="M139">
        <v>1000</v>
      </c>
      <c r="N139">
        <v>1</v>
      </c>
    </row>
    <row r="140" spans="1:14" x14ac:dyDescent="0.2">
      <c r="A140" t="s">
        <v>37</v>
      </c>
      <c r="B140" t="s">
        <v>464</v>
      </c>
      <c r="C140" t="s">
        <v>465</v>
      </c>
      <c r="D140">
        <v>10</v>
      </c>
      <c r="G140">
        <v>0.5</v>
      </c>
      <c r="H140">
        <v>0</v>
      </c>
      <c r="I140">
        <v>0.1</v>
      </c>
      <c r="J140">
        <v>0</v>
      </c>
      <c r="K140">
        <v>1000</v>
      </c>
      <c r="L140">
        <v>0</v>
      </c>
      <c r="M140">
        <v>1000</v>
      </c>
      <c r="N140">
        <v>1</v>
      </c>
    </row>
    <row r="141" spans="1:14" x14ac:dyDescent="0.2">
      <c r="A141" t="s">
        <v>38</v>
      </c>
      <c r="B141" t="s">
        <v>462</v>
      </c>
      <c r="C141" t="s">
        <v>175</v>
      </c>
      <c r="D141">
        <v>1</v>
      </c>
      <c r="G141">
        <v>0.22641509433962301</v>
      </c>
      <c r="H141">
        <v>0</v>
      </c>
      <c r="I141">
        <v>1.045751633986928E-2</v>
      </c>
      <c r="J141">
        <v>0</v>
      </c>
      <c r="K141">
        <v>32</v>
      </c>
      <c r="L141">
        <v>0</v>
      </c>
      <c r="M141">
        <v>306</v>
      </c>
      <c r="N141">
        <v>1</v>
      </c>
    </row>
    <row r="142" spans="1:14" x14ac:dyDescent="0.2">
      <c r="A142" t="s">
        <v>38</v>
      </c>
      <c r="B142" t="s">
        <v>462</v>
      </c>
      <c r="C142" t="s">
        <v>175</v>
      </c>
      <c r="D142">
        <v>2</v>
      </c>
      <c r="G142">
        <v>0.30653061224489803</v>
      </c>
      <c r="H142">
        <v>0</v>
      </c>
      <c r="I142">
        <v>2.0915032679738561E-2</v>
      </c>
      <c r="J142">
        <v>0</v>
      </c>
      <c r="K142">
        <v>64</v>
      </c>
      <c r="L142">
        <v>0</v>
      </c>
      <c r="M142">
        <v>306</v>
      </c>
      <c r="N142">
        <v>1</v>
      </c>
    </row>
    <row r="143" spans="1:14" x14ac:dyDescent="0.2">
      <c r="A143" t="s">
        <v>38</v>
      </c>
      <c r="B143" t="s">
        <v>462</v>
      </c>
      <c r="C143" t="s">
        <v>175</v>
      </c>
      <c r="D143">
        <v>3</v>
      </c>
      <c r="G143">
        <v>0.30653061224489803</v>
      </c>
      <c r="H143">
        <v>0</v>
      </c>
      <c r="I143">
        <v>3.169934640522875E-2</v>
      </c>
      <c r="J143">
        <v>0</v>
      </c>
      <c r="K143">
        <v>97</v>
      </c>
      <c r="L143">
        <v>0</v>
      </c>
      <c r="M143">
        <v>306</v>
      </c>
      <c r="N143">
        <v>1</v>
      </c>
    </row>
    <row r="144" spans="1:14" x14ac:dyDescent="0.2">
      <c r="A144" t="s">
        <v>38</v>
      </c>
      <c r="B144" t="s">
        <v>462</v>
      </c>
      <c r="C144" t="s">
        <v>175</v>
      </c>
      <c r="D144">
        <v>4</v>
      </c>
      <c r="G144">
        <v>0.32700000000000001</v>
      </c>
      <c r="H144">
        <v>0</v>
      </c>
      <c r="I144">
        <v>4.2156862745098042E-2</v>
      </c>
      <c r="J144">
        <v>0</v>
      </c>
      <c r="K144">
        <v>129</v>
      </c>
      <c r="L144">
        <v>0</v>
      </c>
      <c r="M144">
        <v>306</v>
      </c>
      <c r="N144">
        <v>1</v>
      </c>
    </row>
    <row r="145" spans="1:14" x14ac:dyDescent="0.2">
      <c r="A145" t="s">
        <v>38</v>
      </c>
      <c r="B145" t="s">
        <v>462</v>
      </c>
      <c r="C145" t="s">
        <v>175</v>
      </c>
      <c r="D145">
        <v>5</v>
      </c>
      <c r="G145">
        <v>0.34</v>
      </c>
      <c r="H145">
        <v>0</v>
      </c>
      <c r="I145">
        <v>5.2941176470588228E-2</v>
      </c>
      <c r="J145">
        <v>0</v>
      </c>
      <c r="K145">
        <v>162</v>
      </c>
      <c r="L145">
        <v>0</v>
      </c>
      <c r="M145">
        <v>306</v>
      </c>
      <c r="N145">
        <v>1</v>
      </c>
    </row>
    <row r="146" spans="1:14" x14ac:dyDescent="0.2">
      <c r="A146" t="s">
        <v>38</v>
      </c>
      <c r="B146" t="s">
        <v>462</v>
      </c>
      <c r="C146" t="s">
        <v>175</v>
      </c>
      <c r="D146">
        <v>6</v>
      </c>
      <c r="G146">
        <v>0.36363636363636398</v>
      </c>
      <c r="H146">
        <v>0</v>
      </c>
      <c r="I146">
        <v>6.3071895424836599E-2</v>
      </c>
      <c r="J146">
        <v>0</v>
      </c>
      <c r="K146">
        <v>193</v>
      </c>
      <c r="L146">
        <v>0</v>
      </c>
      <c r="M146">
        <v>306</v>
      </c>
      <c r="N146">
        <v>1</v>
      </c>
    </row>
    <row r="147" spans="1:14" x14ac:dyDescent="0.2">
      <c r="A147" t="s">
        <v>38</v>
      </c>
      <c r="B147" t="s">
        <v>462</v>
      </c>
      <c r="C147" t="s">
        <v>175</v>
      </c>
      <c r="D147">
        <v>7</v>
      </c>
      <c r="G147">
        <v>0.36363636363636398</v>
      </c>
      <c r="H147">
        <v>0</v>
      </c>
      <c r="I147">
        <v>7.0000000000000007E-2</v>
      </c>
      <c r="J147">
        <v>0</v>
      </c>
      <c r="K147">
        <v>226</v>
      </c>
      <c r="L147">
        <v>0</v>
      </c>
      <c r="M147">
        <v>306</v>
      </c>
      <c r="N147">
        <v>1</v>
      </c>
    </row>
    <row r="148" spans="1:14" x14ac:dyDescent="0.2">
      <c r="A148" t="s">
        <v>38</v>
      </c>
      <c r="B148" t="s">
        <v>462</v>
      </c>
      <c r="C148" t="s">
        <v>175</v>
      </c>
      <c r="D148">
        <v>8</v>
      </c>
      <c r="G148">
        <v>0.36363636363636398</v>
      </c>
      <c r="H148">
        <v>0</v>
      </c>
      <c r="I148">
        <v>8.4640522875816998E-2</v>
      </c>
      <c r="J148">
        <v>0</v>
      </c>
      <c r="K148">
        <v>259</v>
      </c>
      <c r="L148">
        <v>0</v>
      </c>
      <c r="M148">
        <v>306</v>
      </c>
      <c r="N148">
        <v>1</v>
      </c>
    </row>
    <row r="149" spans="1:14" x14ac:dyDescent="0.2">
      <c r="A149" t="s">
        <v>38</v>
      </c>
      <c r="B149" t="s">
        <v>462</v>
      </c>
      <c r="C149" t="s">
        <v>175</v>
      </c>
      <c r="D149">
        <v>9</v>
      </c>
      <c r="G149">
        <v>0.36363636363636398</v>
      </c>
      <c r="H149">
        <v>0</v>
      </c>
      <c r="I149">
        <v>9.5098039215686284E-2</v>
      </c>
      <c r="J149">
        <v>0</v>
      </c>
      <c r="K149">
        <v>291</v>
      </c>
      <c r="L149">
        <v>0</v>
      </c>
      <c r="M149">
        <v>306</v>
      </c>
      <c r="N149">
        <v>1</v>
      </c>
    </row>
    <row r="150" spans="1:14" x14ac:dyDescent="0.2">
      <c r="A150" t="s">
        <v>38</v>
      </c>
      <c r="B150" t="s">
        <v>462</v>
      </c>
      <c r="C150" t="s">
        <v>175</v>
      </c>
      <c r="D150">
        <v>10</v>
      </c>
      <c r="G150">
        <v>0.36363636363636398</v>
      </c>
      <c r="H150">
        <v>0</v>
      </c>
      <c r="I150">
        <v>9.5098039215686284E-2</v>
      </c>
      <c r="J150">
        <v>0</v>
      </c>
      <c r="K150">
        <v>291</v>
      </c>
      <c r="L150">
        <v>0</v>
      </c>
      <c r="M150">
        <v>306</v>
      </c>
      <c r="N150">
        <v>1</v>
      </c>
    </row>
    <row r="151" spans="1:14" x14ac:dyDescent="0.2">
      <c r="A151" t="s">
        <v>38</v>
      </c>
      <c r="B151" t="s">
        <v>463</v>
      </c>
      <c r="C151" t="s">
        <v>228</v>
      </c>
      <c r="D151">
        <v>1</v>
      </c>
      <c r="F151">
        <v>2.2999999999999998</v>
      </c>
      <c r="G151">
        <v>0.36363636363636398</v>
      </c>
      <c r="H151">
        <v>0</v>
      </c>
      <c r="I151">
        <v>2.581699346405229E-2</v>
      </c>
      <c r="J151">
        <v>0</v>
      </c>
      <c r="K151">
        <v>79</v>
      </c>
      <c r="L151">
        <v>0</v>
      </c>
      <c r="M151">
        <v>306</v>
      </c>
      <c r="N151">
        <v>1</v>
      </c>
    </row>
    <row r="152" spans="1:14" x14ac:dyDescent="0.2">
      <c r="A152" t="s">
        <v>38</v>
      </c>
      <c r="B152" t="s">
        <v>463</v>
      </c>
      <c r="C152" t="s">
        <v>228</v>
      </c>
      <c r="D152">
        <v>2</v>
      </c>
      <c r="F152">
        <v>4.5</v>
      </c>
      <c r="G152">
        <v>0.36363636363636398</v>
      </c>
      <c r="H152">
        <v>0</v>
      </c>
      <c r="I152">
        <v>3.5620915032679737E-2</v>
      </c>
      <c r="J152">
        <v>0</v>
      </c>
      <c r="K152">
        <v>109</v>
      </c>
      <c r="L152">
        <v>0</v>
      </c>
      <c r="M152">
        <v>306</v>
      </c>
      <c r="N152">
        <v>1</v>
      </c>
    </row>
    <row r="153" spans="1:14" x14ac:dyDescent="0.2">
      <c r="A153" t="s">
        <v>38</v>
      </c>
      <c r="B153" t="s">
        <v>463</v>
      </c>
      <c r="C153" t="s">
        <v>228</v>
      </c>
      <c r="D153">
        <v>3</v>
      </c>
      <c r="F153">
        <v>5.9</v>
      </c>
      <c r="G153">
        <v>0.42</v>
      </c>
      <c r="H153">
        <v>0</v>
      </c>
      <c r="I153">
        <v>3.7254901960784313E-2</v>
      </c>
      <c r="J153">
        <v>0</v>
      </c>
      <c r="K153">
        <v>114</v>
      </c>
      <c r="L153">
        <v>0</v>
      </c>
      <c r="M153">
        <v>306</v>
      </c>
      <c r="N153">
        <v>1</v>
      </c>
    </row>
    <row r="154" spans="1:14" x14ac:dyDescent="0.2">
      <c r="A154" t="s">
        <v>38</v>
      </c>
      <c r="B154" t="s">
        <v>463</v>
      </c>
      <c r="C154" t="s">
        <v>228</v>
      </c>
      <c r="D154">
        <v>4</v>
      </c>
      <c r="F154">
        <v>7</v>
      </c>
      <c r="G154">
        <v>0.42</v>
      </c>
      <c r="H154">
        <v>0</v>
      </c>
      <c r="I154">
        <v>4.7058823529411757E-2</v>
      </c>
      <c r="J154">
        <v>0</v>
      </c>
      <c r="K154">
        <v>144</v>
      </c>
      <c r="L154">
        <v>0</v>
      </c>
      <c r="M154">
        <v>306</v>
      </c>
      <c r="N154">
        <v>1</v>
      </c>
    </row>
    <row r="155" spans="1:14" x14ac:dyDescent="0.2">
      <c r="A155" t="s">
        <v>38</v>
      </c>
      <c r="B155" t="s">
        <v>463</v>
      </c>
      <c r="C155" t="s">
        <v>228</v>
      </c>
      <c r="D155">
        <v>5</v>
      </c>
      <c r="F155">
        <v>7.2</v>
      </c>
      <c r="G155">
        <v>0.42</v>
      </c>
      <c r="H155">
        <v>0</v>
      </c>
      <c r="I155">
        <v>5.4901960784313732E-2</v>
      </c>
      <c r="J155">
        <v>0</v>
      </c>
      <c r="K155">
        <v>168</v>
      </c>
      <c r="L155">
        <v>0</v>
      </c>
      <c r="M155">
        <v>306</v>
      </c>
      <c r="N155">
        <v>1</v>
      </c>
    </row>
    <row r="156" spans="1:14" x14ac:dyDescent="0.2">
      <c r="A156" t="s">
        <v>38</v>
      </c>
      <c r="B156" t="s">
        <v>463</v>
      </c>
      <c r="C156" t="s">
        <v>228</v>
      </c>
      <c r="D156">
        <v>6</v>
      </c>
      <c r="F156">
        <v>7.8</v>
      </c>
      <c r="G156">
        <v>0.42</v>
      </c>
      <c r="H156">
        <v>0</v>
      </c>
      <c r="I156">
        <v>6.3398692810457513E-2</v>
      </c>
      <c r="J156">
        <v>0</v>
      </c>
      <c r="K156">
        <v>194</v>
      </c>
      <c r="L156">
        <v>0</v>
      </c>
      <c r="M156">
        <v>306</v>
      </c>
      <c r="N156">
        <v>1</v>
      </c>
    </row>
    <row r="157" spans="1:14" x14ac:dyDescent="0.2">
      <c r="A157" t="s">
        <v>38</v>
      </c>
      <c r="B157" t="s">
        <v>463</v>
      </c>
      <c r="C157" t="s">
        <v>228</v>
      </c>
      <c r="D157">
        <v>7</v>
      </c>
      <c r="F157">
        <v>9.1</v>
      </c>
      <c r="G157">
        <v>0.42</v>
      </c>
      <c r="H157">
        <v>0</v>
      </c>
      <c r="I157">
        <v>7.3856209150326799E-2</v>
      </c>
      <c r="J157">
        <v>0</v>
      </c>
      <c r="K157">
        <v>226</v>
      </c>
      <c r="L157">
        <v>0</v>
      </c>
      <c r="M157">
        <v>306</v>
      </c>
      <c r="N157">
        <v>1</v>
      </c>
    </row>
    <row r="158" spans="1:14" x14ac:dyDescent="0.2">
      <c r="A158" t="s">
        <v>38</v>
      </c>
      <c r="B158" t="s">
        <v>463</v>
      </c>
      <c r="C158" t="s">
        <v>228</v>
      </c>
      <c r="D158">
        <v>8</v>
      </c>
      <c r="F158">
        <v>9.8000000000000007</v>
      </c>
      <c r="G158">
        <v>0.42</v>
      </c>
      <c r="H158">
        <v>0</v>
      </c>
      <c r="I158">
        <v>8.4640522875816998E-2</v>
      </c>
      <c r="J158">
        <v>0</v>
      </c>
      <c r="K158">
        <v>259</v>
      </c>
      <c r="L158">
        <v>0</v>
      </c>
      <c r="M158">
        <v>306</v>
      </c>
      <c r="N158">
        <v>1</v>
      </c>
    </row>
    <row r="159" spans="1:14" x14ac:dyDescent="0.2">
      <c r="A159" t="s">
        <v>38</v>
      </c>
      <c r="B159" t="s">
        <v>463</v>
      </c>
      <c r="C159" t="s">
        <v>228</v>
      </c>
      <c r="D159">
        <v>9</v>
      </c>
      <c r="F159">
        <v>10.9</v>
      </c>
      <c r="G159">
        <v>0.42</v>
      </c>
      <c r="H159">
        <v>0</v>
      </c>
      <c r="I159">
        <v>9.5098039215686284E-2</v>
      </c>
      <c r="J159">
        <v>0</v>
      </c>
      <c r="K159">
        <v>291</v>
      </c>
      <c r="L159">
        <v>0</v>
      </c>
      <c r="M159">
        <v>306</v>
      </c>
      <c r="N159">
        <v>1</v>
      </c>
    </row>
    <row r="160" spans="1:14" x14ac:dyDescent="0.2">
      <c r="A160" t="s">
        <v>38</v>
      </c>
      <c r="B160" t="s">
        <v>464</v>
      </c>
      <c r="C160" t="s">
        <v>465</v>
      </c>
      <c r="D160">
        <v>10</v>
      </c>
      <c r="G160">
        <v>0.41899999999999998</v>
      </c>
      <c r="H160">
        <v>0</v>
      </c>
      <c r="I160">
        <v>0.1</v>
      </c>
      <c r="J160">
        <v>0</v>
      </c>
      <c r="K160">
        <v>306</v>
      </c>
      <c r="L160">
        <v>0</v>
      </c>
      <c r="M160">
        <v>306</v>
      </c>
      <c r="N160">
        <v>1</v>
      </c>
    </row>
    <row r="161" spans="1:14" x14ac:dyDescent="0.2">
      <c r="A161" t="s">
        <v>33</v>
      </c>
      <c r="B161" t="s">
        <v>462</v>
      </c>
      <c r="C161" t="s">
        <v>175</v>
      </c>
      <c r="D161">
        <v>1</v>
      </c>
      <c r="G161">
        <v>0</v>
      </c>
      <c r="H161">
        <v>0</v>
      </c>
      <c r="I161">
        <v>0.01</v>
      </c>
      <c r="J161">
        <v>0</v>
      </c>
      <c r="K161">
        <v>260</v>
      </c>
      <c r="L161">
        <v>0</v>
      </c>
      <c r="M161">
        <v>2600</v>
      </c>
      <c r="N161">
        <v>1</v>
      </c>
    </row>
    <row r="162" spans="1:14" x14ac:dyDescent="0.2">
      <c r="A162" t="s">
        <v>33</v>
      </c>
      <c r="B162" t="s">
        <v>462</v>
      </c>
      <c r="C162" t="s">
        <v>175</v>
      </c>
      <c r="D162">
        <v>2</v>
      </c>
      <c r="G162">
        <v>0</v>
      </c>
      <c r="H162">
        <v>0</v>
      </c>
      <c r="I162">
        <v>0.02</v>
      </c>
      <c r="J162">
        <v>0</v>
      </c>
      <c r="K162">
        <v>520</v>
      </c>
      <c r="L162">
        <v>0</v>
      </c>
      <c r="M162">
        <v>2600</v>
      </c>
      <c r="N162">
        <v>1</v>
      </c>
    </row>
    <row r="163" spans="1:14" x14ac:dyDescent="0.2">
      <c r="A163" t="s">
        <v>33</v>
      </c>
      <c r="B163" t="s">
        <v>462</v>
      </c>
      <c r="C163" t="s">
        <v>175</v>
      </c>
      <c r="D163">
        <v>3</v>
      </c>
      <c r="G163">
        <v>0</v>
      </c>
      <c r="H163">
        <v>0</v>
      </c>
      <c r="I163">
        <v>0.03</v>
      </c>
      <c r="J163">
        <v>0</v>
      </c>
      <c r="K163">
        <v>780</v>
      </c>
      <c r="L163">
        <v>0</v>
      </c>
      <c r="M163">
        <v>2600</v>
      </c>
      <c r="N163">
        <v>1</v>
      </c>
    </row>
    <row r="164" spans="1:14" x14ac:dyDescent="0.2">
      <c r="A164" t="s">
        <v>33</v>
      </c>
      <c r="B164" t="s">
        <v>462</v>
      </c>
      <c r="C164" t="s">
        <v>175</v>
      </c>
      <c r="D164">
        <v>4</v>
      </c>
      <c r="G164">
        <v>0</v>
      </c>
      <c r="H164">
        <v>0</v>
      </c>
      <c r="I164">
        <v>0.04</v>
      </c>
      <c r="J164">
        <v>0</v>
      </c>
      <c r="K164">
        <v>1040</v>
      </c>
      <c r="L164">
        <v>0</v>
      </c>
      <c r="M164">
        <v>2600</v>
      </c>
      <c r="N164">
        <v>1</v>
      </c>
    </row>
    <row r="165" spans="1:14" x14ac:dyDescent="0.2">
      <c r="A165" t="s">
        <v>33</v>
      </c>
      <c r="B165" t="s">
        <v>462</v>
      </c>
      <c r="C165" t="s">
        <v>175</v>
      </c>
      <c r="D165">
        <v>5</v>
      </c>
      <c r="G165">
        <v>0</v>
      </c>
      <c r="H165">
        <v>0</v>
      </c>
      <c r="I165">
        <v>4.9884615384615368E-2</v>
      </c>
      <c r="J165">
        <v>0</v>
      </c>
      <c r="K165">
        <v>1297</v>
      </c>
      <c r="L165">
        <v>0</v>
      </c>
      <c r="M165">
        <v>2600</v>
      </c>
      <c r="N165">
        <v>1</v>
      </c>
    </row>
    <row r="166" spans="1:14" x14ac:dyDescent="0.2">
      <c r="A166" t="s">
        <v>33</v>
      </c>
      <c r="B166" t="s">
        <v>462</v>
      </c>
      <c r="C166" t="s">
        <v>175</v>
      </c>
      <c r="D166">
        <v>6</v>
      </c>
      <c r="G166">
        <v>0</v>
      </c>
      <c r="H166">
        <v>0</v>
      </c>
      <c r="I166">
        <v>5.9923076923076933E-2</v>
      </c>
      <c r="J166">
        <v>0</v>
      </c>
      <c r="K166">
        <v>1558</v>
      </c>
      <c r="L166">
        <v>0</v>
      </c>
      <c r="M166">
        <v>2600</v>
      </c>
      <c r="N166">
        <v>1</v>
      </c>
    </row>
    <row r="167" spans="1:14" x14ac:dyDescent="0.2">
      <c r="A167" t="s">
        <v>33</v>
      </c>
      <c r="B167" t="s">
        <v>462</v>
      </c>
      <c r="C167" t="s">
        <v>175</v>
      </c>
      <c r="D167">
        <v>7</v>
      </c>
      <c r="G167">
        <v>0.91</v>
      </c>
      <c r="H167">
        <v>0</v>
      </c>
      <c r="I167">
        <v>6.9961538461538464E-2</v>
      </c>
      <c r="J167">
        <v>0</v>
      </c>
      <c r="K167">
        <v>1819</v>
      </c>
      <c r="L167">
        <v>0</v>
      </c>
      <c r="M167">
        <v>2600</v>
      </c>
      <c r="N167">
        <v>1</v>
      </c>
    </row>
    <row r="168" spans="1:14" x14ac:dyDescent="0.2">
      <c r="A168" t="s">
        <v>33</v>
      </c>
      <c r="B168" t="s">
        <v>462</v>
      </c>
      <c r="C168" t="s">
        <v>175</v>
      </c>
      <c r="D168">
        <v>8</v>
      </c>
      <c r="G168">
        <v>0.91</v>
      </c>
      <c r="H168">
        <v>0</v>
      </c>
      <c r="I168">
        <v>0.08</v>
      </c>
      <c r="J168">
        <v>0</v>
      </c>
      <c r="K168">
        <v>2080</v>
      </c>
      <c r="L168">
        <v>0</v>
      </c>
      <c r="M168">
        <v>2600</v>
      </c>
      <c r="N168">
        <v>1</v>
      </c>
    </row>
    <row r="169" spans="1:14" x14ac:dyDescent="0.2">
      <c r="A169" t="s">
        <v>33</v>
      </c>
      <c r="B169" t="s">
        <v>462</v>
      </c>
      <c r="C169" t="s">
        <v>175</v>
      </c>
      <c r="D169">
        <v>9</v>
      </c>
      <c r="G169">
        <v>0.91</v>
      </c>
      <c r="H169">
        <v>0</v>
      </c>
      <c r="I169">
        <v>8.9730769230769239E-2</v>
      </c>
      <c r="J169">
        <v>0</v>
      </c>
      <c r="K169">
        <v>2333</v>
      </c>
      <c r="L169">
        <v>0</v>
      </c>
      <c r="M169">
        <v>2600</v>
      </c>
      <c r="N169">
        <v>1</v>
      </c>
    </row>
    <row r="170" spans="1:14" x14ac:dyDescent="0.2">
      <c r="A170" t="s">
        <v>33</v>
      </c>
      <c r="B170" t="s">
        <v>462</v>
      </c>
      <c r="C170" t="s">
        <v>175</v>
      </c>
      <c r="D170">
        <v>10</v>
      </c>
      <c r="G170">
        <v>0.91</v>
      </c>
      <c r="H170">
        <v>0</v>
      </c>
      <c r="I170">
        <v>8.9730769230769239E-2</v>
      </c>
      <c r="J170">
        <v>0</v>
      </c>
      <c r="K170">
        <v>2333</v>
      </c>
      <c r="L170">
        <v>0</v>
      </c>
      <c r="M170">
        <v>2600</v>
      </c>
      <c r="N170">
        <v>1</v>
      </c>
    </row>
    <row r="171" spans="1:14" x14ac:dyDescent="0.2">
      <c r="A171" t="s">
        <v>33</v>
      </c>
      <c r="B171" t="s">
        <v>463</v>
      </c>
      <c r="C171" t="s">
        <v>228</v>
      </c>
      <c r="D171">
        <v>1</v>
      </c>
      <c r="F171">
        <v>1.2</v>
      </c>
      <c r="G171">
        <v>0</v>
      </c>
      <c r="H171">
        <v>0</v>
      </c>
      <c r="I171">
        <v>0.01</v>
      </c>
      <c r="J171">
        <v>0</v>
      </c>
      <c r="K171">
        <v>260</v>
      </c>
      <c r="L171">
        <v>0</v>
      </c>
      <c r="M171">
        <v>2600</v>
      </c>
      <c r="N171">
        <v>1</v>
      </c>
    </row>
    <row r="172" spans="1:14" x14ac:dyDescent="0.2">
      <c r="A172" t="s">
        <v>33</v>
      </c>
      <c r="B172" t="s">
        <v>463</v>
      </c>
      <c r="C172" t="s">
        <v>228</v>
      </c>
      <c r="D172">
        <v>2</v>
      </c>
      <c r="F172">
        <v>2.5</v>
      </c>
      <c r="G172">
        <v>0</v>
      </c>
      <c r="H172">
        <v>0</v>
      </c>
      <c r="I172">
        <v>2.8000000000000001E-2</v>
      </c>
      <c r="J172">
        <v>0</v>
      </c>
      <c r="K172">
        <v>728</v>
      </c>
      <c r="L172">
        <v>0</v>
      </c>
      <c r="M172">
        <v>2600</v>
      </c>
      <c r="N172">
        <v>1</v>
      </c>
    </row>
    <row r="173" spans="1:14" x14ac:dyDescent="0.2">
      <c r="A173" t="s">
        <v>33</v>
      </c>
      <c r="B173" t="s">
        <v>463</v>
      </c>
      <c r="C173" t="s">
        <v>228</v>
      </c>
      <c r="D173">
        <v>3</v>
      </c>
      <c r="F173">
        <v>3.3</v>
      </c>
      <c r="G173">
        <v>0</v>
      </c>
      <c r="H173">
        <v>0</v>
      </c>
      <c r="I173">
        <v>3.6999999999999998E-2</v>
      </c>
      <c r="J173">
        <v>0</v>
      </c>
      <c r="K173">
        <v>962</v>
      </c>
      <c r="L173">
        <v>0</v>
      </c>
      <c r="M173">
        <v>2600</v>
      </c>
      <c r="N173">
        <v>1</v>
      </c>
    </row>
    <row r="174" spans="1:14" x14ac:dyDescent="0.2">
      <c r="A174" t="s">
        <v>33</v>
      </c>
      <c r="B174" t="s">
        <v>463</v>
      </c>
      <c r="C174" t="s">
        <v>228</v>
      </c>
      <c r="D174">
        <v>4</v>
      </c>
      <c r="F174">
        <v>4.9000000000000004</v>
      </c>
      <c r="G174">
        <v>0.91</v>
      </c>
      <c r="H174">
        <v>0</v>
      </c>
      <c r="I174">
        <v>4.5999999999999999E-2</v>
      </c>
      <c r="J174">
        <v>0</v>
      </c>
      <c r="K174">
        <v>1196</v>
      </c>
      <c r="L174">
        <v>0</v>
      </c>
      <c r="M174">
        <v>2600</v>
      </c>
      <c r="N174">
        <v>1</v>
      </c>
    </row>
    <row r="175" spans="1:14" x14ac:dyDescent="0.2">
      <c r="A175" t="s">
        <v>33</v>
      </c>
      <c r="B175" t="s">
        <v>463</v>
      </c>
      <c r="C175" t="s">
        <v>228</v>
      </c>
      <c r="D175">
        <v>5</v>
      </c>
      <c r="F175">
        <v>6.2</v>
      </c>
      <c r="G175">
        <v>0.91</v>
      </c>
      <c r="H175">
        <v>0</v>
      </c>
      <c r="I175">
        <v>5.4923076923076922E-2</v>
      </c>
      <c r="J175">
        <v>0</v>
      </c>
      <c r="K175">
        <v>1428</v>
      </c>
      <c r="L175">
        <v>0</v>
      </c>
      <c r="M175">
        <v>2600</v>
      </c>
      <c r="N175">
        <v>1</v>
      </c>
    </row>
    <row r="176" spans="1:14" x14ac:dyDescent="0.2">
      <c r="A176" t="s">
        <v>33</v>
      </c>
      <c r="B176" t="s">
        <v>463</v>
      </c>
      <c r="C176" t="s">
        <v>228</v>
      </c>
      <c r="D176">
        <v>6</v>
      </c>
      <c r="F176">
        <v>7.4</v>
      </c>
      <c r="G176">
        <v>0.91</v>
      </c>
      <c r="H176">
        <v>0</v>
      </c>
      <c r="I176">
        <v>6.3807692307692315E-2</v>
      </c>
      <c r="J176">
        <v>0</v>
      </c>
      <c r="K176">
        <v>1659</v>
      </c>
      <c r="L176">
        <v>0</v>
      </c>
      <c r="M176">
        <v>2600</v>
      </c>
      <c r="N176">
        <v>1</v>
      </c>
    </row>
    <row r="177" spans="1:14" x14ac:dyDescent="0.2">
      <c r="A177" t="s">
        <v>33</v>
      </c>
      <c r="B177" t="s">
        <v>463</v>
      </c>
      <c r="C177" t="s">
        <v>228</v>
      </c>
      <c r="D177">
        <v>7</v>
      </c>
      <c r="F177">
        <v>9.1999999999999993</v>
      </c>
      <c r="G177">
        <v>1</v>
      </c>
      <c r="H177">
        <v>0</v>
      </c>
      <c r="I177">
        <v>7.2769230769230767E-2</v>
      </c>
      <c r="J177">
        <v>0</v>
      </c>
      <c r="K177">
        <v>1892</v>
      </c>
      <c r="L177">
        <v>0</v>
      </c>
      <c r="M177">
        <v>2600</v>
      </c>
      <c r="N177">
        <v>1</v>
      </c>
    </row>
    <row r="178" spans="1:14" x14ac:dyDescent="0.2">
      <c r="A178" t="s">
        <v>33</v>
      </c>
      <c r="B178" t="s">
        <v>463</v>
      </c>
      <c r="C178" t="s">
        <v>228</v>
      </c>
      <c r="D178">
        <v>8</v>
      </c>
      <c r="F178">
        <v>10.199999999999999</v>
      </c>
      <c r="G178">
        <v>1</v>
      </c>
      <c r="H178">
        <v>0</v>
      </c>
      <c r="I178">
        <v>8.165384615384616E-2</v>
      </c>
      <c r="J178">
        <v>0</v>
      </c>
      <c r="K178">
        <v>2123</v>
      </c>
      <c r="L178">
        <v>0</v>
      </c>
      <c r="M178">
        <v>2600</v>
      </c>
      <c r="N178">
        <v>1</v>
      </c>
    </row>
    <row r="179" spans="1:14" x14ac:dyDescent="0.2">
      <c r="A179" t="s">
        <v>33</v>
      </c>
      <c r="B179" t="s">
        <v>463</v>
      </c>
      <c r="C179" t="s">
        <v>228</v>
      </c>
      <c r="D179">
        <v>9</v>
      </c>
      <c r="F179">
        <v>11</v>
      </c>
      <c r="G179">
        <v>1</v>
      </c>
      <c r="H179">
        <v>0</v>
      </c>
      <c r="I179">
        <v>9.0884615384615397E-2</v>
      </c>
      <c r="J179">
        <v>0</v>
      </c>
      <c r="K179">
        <v>2363</v>
      </c>
      <c r="L179">
        <v>0</v>
      </c>
      <c r="M179">
        <v>2600</v>
      </c>
      <c r="N179">
        <v>1</v>
      </c>
    </row>
    <row r="180" spans="1:14" x14ac:dyDescent="0.2">
      <c r="A180" t="s">
        <v>33</v>
      </c>
      <c r="B180" t="s">
        <v>464</v>
      </c>
      <c r="C180" t="s">
        <v>465</v>
      </c>
      <c r="D180">
        <v>10</v>
      </c>
      <c r="G180">
        <v>0.434782608695652</v>
      </c>
      <c r="H180">
        <v>0</v>
      </c>
      <c r="I180">
        <v>0.1</v>
      </c>
      <c r="J180">
        <v>0</v>
      </c>
      <c r="K180">
        <v>2600</v>
      </c>
      <c r="L180">
        <v>0</v>
      </c>
      <c r="M180">
        <v>2600</v>
      </c>
      <c r="N180">
        <v>1</v>
      </c>
    </row>
    <row r="181" spans="1:14" x14ac:dyDescent="0.2">
      <c r="A181" t="s">
        <v>34</v>
      </c>
      <c r="B181" t="s">
        <v>462</v>
      </c>
      <c r="C181" t="s">
        <v>175</v>
      </c>
      <c r="D181">
        <v>1</v>
      </c>
      <c r="G181">
        <v>0.76923076923076905</v>
      </c>
      <c r="H181">
        <v>0</v>
      </c>
      <c r="I181">
        <v>0.01</v>
      </c>
      <c r="J181">
        <v>0</v>
      </c>
      <c r="K181">
        <v>270</v>
      </c>
      <c r="L181">
        <v>0</v>
      </c>
      <c r="M181">
        <v>27000</v>
      </c>
      <c r="N181">
        <v>1</v>
      </c>
    </row>
    <row r="182" spans="1:14" x14ac:dyDescent="0.2">
      <c r="A182" t="s">
        <v>34</v>
      </c>
      <c r="B182" t="s">
        <v>462</v>
      </c>
      <c r="C182" t="s">
        <v>175</v>
      </c>
      <c r="D182">
        <v>2</v>
      </c>
      <c r="G182">
        <v>0.76923076923076905</v>
      </c>
      <c r="H182">
        <v>0</v>
      </c>
      <c r="I182">
        <v>0.02</v>
      </c>
      <c r="J182">
        <v>0</v>
      </c>
      <c r="K182">
        <v>540</v>
      </c>
      <c r="L182">
        <v>0</v>
      </c>
      <c r="M182">
        <v>27000</v>
      </c>
      <c r="N182">
        <v>1</v>
      </c>
    </row>
    <row r="183" spans="1:14" x14ac:dyDescent="0.2">
      <c r="A183" t="s">
        <v>34</v>
      </c>
      <c r="B183" t="s">
        <v>462</v>
      </c>
      <c r="C183" t="s">
        <v>175</v>
      </c>
      <c r="D183">
        <v>3</v>
      </c>
      <c r="G183">
        <v>0.76923076923076905</v>
      </c>
      <c r="H183">
        <v>0</v>
      </c>
      <c r="I183">
        <v>0.03</v>
      </c>
      <c r="J183">
        <v>0</v>
      </c>
      <c r="K183">
        <v>810</v>
      </c>
      <c r="L183">
        <v>0</v>
      </c>
      <c r="M183">
        <v>27000</v>
      </c>
      <c r="N183">
        <v>1</v>
      </c>
    </row>
    <row r="184" spans="1:14" x14ac:dyDescent="0.2">
      <c r="A184" t="s">
        <v>34</v>
      </c>
      <c r="B184" t="s">
        <v>462</v>
      </c>
      <c r="C184" t="s">
        <v>175</v>
      </c>
      <c r="D184">
        <v>4</v>
      </c>
      <c r="G184">
        <v>0.83333333333333304</v>
      </c>
      <c r="H184">
        <v>0</v>
      </c>
      <c r="I184">
        <v>0.04</v>
      </c>
      <c r="J184">
        <v>0</v>
      </c>
      <c r="K184">
        <v>1080</v>
      </c>
      <c r="L184">
        <v>0</v>
      </c>
      <c r="M184">
        <v>27000</v>
      </c>
      <c r="N184">
        <v>1</v>
      </c>
    </row>
    <row r="185" spans="1:14" x14ac:dyDescent="0.2">
      <c r="A185" t="s">
        <v>34</v>
      </c>
      <c r="B185" t="s">
        <v>462</v>
      </c>
      <c r="C185" t="s">
        <v>175</v>
      </c>
      <c r="D185">
        <v>5</v>
      </c>
      <c r="G185">
        <v>0.83333333333333304</v>
      </c>
      <c r="H185">
        <v>0</v>
      </c>
      <c r="I185">
        <v>0.05</v>
      </c>
      <c r="J185">
        <v>0</v>
      </c>
      <c r="K185">
        <v>1350</v>
      </c>
      <c r="L185">
        <v>0</v>
      </c>
      <c r="M185">
        <v>27000</v>
      </c>
      <c r="N185">
        <v>1</v>
      </c>
    </row>
    <row r="186" spans="1:14" x14ac:dyDescent="0.2">
      <c r="A186" t="s">
        <v>34</v>
      </c>
      <c r="B186" t="s">
        <v>462</v>
      </c>
      <c r="C186" t="s">
        <v>175</v>
      </c>
      <c r="D186">
        <v>6</v>
      </c>
      <c r="G186">
        <v>0.83333333333333304</v>
      </c>
      <c r="H186">
        <v>0</v>
      </c>
      <c r="I186">
        <v>5.9888888888888797E-2</v>
      </c>
      <c r="J186">
        <v>0</v>
      </c>
      <c r="K186">
        <v>1617</v>
      </c>
      <c r="L186">
        <v>0</v>
      </c>
      <c r="M186">
        <v>27000</v>
      </c>
      <c r="N186">
        <v>1</v>
      </c>
    </row>
    <row r="187" spans="1:14" x14ac:dyDescent="0.2">
      <c r="A187" t="s">
        <v>34</v>
      </c>
      <c r="B187" t="s">
        <v>462</v>
      </c>
      <c r="C187" t="s">
        <v>175</v>
      </c>
      <c r="D187">
        <v>7</v>
      </c>
      <c r="G187">
        <v>0.83333333333333304</v>
      </c>
      <c r="H187">
        <v>0</v>
      </c>
      <c r="I187">
        <v>7.0000000000000007E-2</v>
      </c>
      <c r="J187">
        <v>0</v>
      </c>
      <c r="K187">
        <v>1890</v>
      </c>
      <c r="L187">
        <v>0</v>
      </c>
      <c r="M187">
        <v>27000</v>
      </c>
      <c r="N187">
        <v>1</v>
      </c>
    </row>
    <row r="188" spans="1:14" x14ac:dyDescent="0.2">
      <c r="A188" t="s">
        <v>34</v>
      </c>
      <c r="B188" t="s">
        <v>462</v>
      </c>
      <c r="C188" t="s">
        <v>175</v>
      </c>
      <c r="D188">
        <v>8</v>
      </c>
      <c r="G188">
        <v>0.83333333333333304</v>
      </c>
      <c r="H188">
        <v>0</v>
      </c>
      <c r="I188">
        <v>7.9962962962962902E-2</v>
      </c>
      <c r="J188">
        <v>0</v>
      </c>
      <c r="K188">
        <v>2159</v>
      </c>
      <c r="L188">
        <v>0</v>
      </c>
      <c r="M188">
        <v>27000</v>
      </c>
      <c r="N188">
        <v>1</v>
      </c>
    </row>
    <row r="189" spans="1:14" x14ac:dyDescent="0.2">
      <c r="A189" t="s">
        <v>34</v>
      </c>
      <c r="B189" t="s">
        <v>462</v>
      </c>
      <c r="C189" t="s">
        <v>175</v>
      </c>
      <c r="D189">
        <v>9</v>
      </c>
      <c r="G189">
        <v>0.83333333333333304</v>
      </c>
      <c r="H189">
        <v>0</v>
      </c>
      <c r="I189">
        <v>8.9925925925925895E-2</v>
      </c>
      <c r="J189">
        <v>0</v>
      </c>
      <c r="K189">
        <v>2428</v>
      </c>
      <c r="L189">
        <v>0</v>
      </c>
      <c r="M189">
        <v>27000</v>
      </c>
      <c r="N189">
        <v>1</v>
      </c>
    </row>
    <row r="190" spans="1:14" x14ac:dyDescent="0.2">
      <c r="A190" t="s">
        <v>34</v>
      </c>
      <c r="B190" t="s">
        <v>462</v>
      </c>
      <c r="C190" t="s">
        <v>175</v>
      </c>
      <c r="D190">
        <v>10</v>
      </c>
      <c r="G190">
        <v>0.83333333333333304</v>
      </c>
      <c r="H190">
        <v>0</v>
      </c>
      <c r="I190">
        <v>0.1</v>
      </c>
      <c r="J190">
        <v>0</v>
      </c>
      <c r="K190">
        <v>2700</v>
      </c>
      <c r="L190">
        <v>0</v>
      </c>
      <c r="M190">
        <v>27000</v>
      </c>
      <c r="N190">
        <v>1</v>
      </c>
    </row>
    <row r="191" spans="1:14" x14ac:dyDescent="0.2">
      <c r="A191" t="s">
        <v>34</v>
      </c>
      <c r="B191" t="s">
        <v>463</v>
      </c>
      <c r="C191" t="s">
        <v>228</v>
      </c>
      <c r="D191">
        <v>1</v>
      </c>
      <c r="F191">
        <v>2.2999999999999998</v>
      </c>
      <c r="G191">
        <v>0.76923076923076905</v>
      </c>
      <c r="H191">
        <v>0</v>
      </c>
      <c r="I191">
        <v>0.20507407407407399</v>
      </c>
      <c r="J191">
        <v>0</v>
      </c>
      <c r="K191">
        <v>5537</v>
      </c>
      <c r="L191">
        <v>0</v>
      </c>
      <c r="M191">
        <v>27000</v>
      </c>
      <c r="N191">
        <v>1</v>
      </c>
    </row>
    <row r="192" spans="1:14" x14ac:dyDescent="0.2">
      <c r="A192" t="s">
        <v>34</v>
      </c>
      <c r="B192" t="s">
        <v>463</v>
      </c>
      <c r="C192" t="s">
        <v>228</v>
      </c>
      <c r="D192">
        <v>2</v>
      </c>
      <c r="F192">
        <v>3.4</v>
      </c>
      <c r="G192">
        <v>0.76923076923076905</v>
      </c>
      <c r="H192">
        <v>0</v>
      </c>
      <c r="I192">
        <v>0.1191481481481481</v>
      </c>
      <c r="J192">
        <v>0</v>
      </c>
      <c r="K192">
        <v>3217</v>
      </c>
      <c r="L192">
        <v>0</v>
      </c>
      <c r="M192">
        <v>27000</v>
      </c>
      <c r="N192">
        <v>1</v>
      </c>
    </row>
    <row r="193" spans="1:14" x14ac:dyDescent="0.2">
      <c r="A193" t="s">
        <v>34</v>
      </c>
      <c r="B193" t="s">
        <v>463</v>
      </c>
      <c r="C193" t="s">
        <v>228</v>
      </c>
      <c r="D193">
        <v>3</v>
      </c>
      <c r="F193">
        <v>5.9</v>
      </c>
      <c r="G193">
        <v>0.90909090909090895</v>
      </c>
      <c r="H193">
        <v>0</v>
      </c>
      <c r="I193">
        <v>0.15244444444444441</v>
      </c>
      <c r="J193">
        <v>0</v>
      </c>
      <c r="K193">
        <v>4116</v>
      </c>
      <c r="L193">
        <v>0</v>
      </c>
      <c r="M193">
        <v>27000</v>
      </c>
      <c r="N193">
        <v>1</v>
      </c>
    </row>
    <row r="194" spans="1:14" x14ac:dyDescent="0.2">
      <c r="A194" t="s">
        <v>34</v>
      </c>
      <c r="B194" t="s">
        <v>463</v>
      </c>
      <c r="C194" t="s">
        <v>228</v>
      </c>
      <c r="D194">
        <v>4</v>
      </c>
      <c r="F194">
        <v>6.2</v>
      </c>
      <c r="G194">
        <v>0.90909090909090895</v>
      </c>
      <c r="H194">
        <v>0</v>
      </c>
      <c r="I194">
        <v>0.1389629629629629</v>
      </c>
      <c r="J194">
        <v>0</v>
      </c>
      <c r="K194">
        <v>3752</v>
      </c>
      <c r="L194">
        <v>0</v>
      </c>
      <c r="M194">
        <v>27000</v>
      </c>
      <c r="N194">
        <v>1</v>
      </c>
    </row>
    <row r="195" spans="1:14" x14ac:dyDescent="0.2">
      <c r="A195" t="s">
        <v>34</v>
      </c>
      <c r="B195" t="s">
        <v>463</v>
      </c>
      <c r="C195" t="s">
        <v>228</v>
      </c>
      <c r="D195">
        <v>5</v>
      </c>
      <c r="F195">
        <v>7.4</v>
      </c>
      <c r="G195">
        <v>0.90909090909090895</v>
      </c>
      <c r="H195">
        <v>0</v>
      </c>
      <c r="I195">
        <v>0.10718518518518511</v>
      </c>
      <c r="J195">
        <v>0</v>
      </c>
      <c r="K195">
        <v>2894</v>
      </c>
      <c r="L195">
        <v>0</v>
      </c>
      <c r="M195">
        <v>27000</v>
      </c>
      <c r="N195">
        <v>1</v>
      </c>
    </row>
    <row r="196" spans="1:14" x14ac:dyDescent="0.2">
      <c r="A196" t="s">
        <v>34</v>
      </c>
      <c r="B196" t="s">
        <v>463</v>
      </c>
      <c r="C196" t="s">
        <v>228</v>
      </c>
      <c r="D196">
        <v>6</v>
      </c>
      <c r="F196">
        <v>8.5</v>
      </c>
      <c r="G196">
        <v>0.90909090909090895</v>
      </c>
      <c r="H196">
        <v>0</v>
      </c>
      <c r="I196">
        <v>5.9851851851851802E-2</v>
      </c>
      <c r="J196">
        <v>0</v>
      </c>
      <c r="K196">
        <v>1616</v>
      </c>
      <c r="L196">
        <v>0</v>
      </c>
      <c r="M196">
        <v>27000</v>
      </c>
      <c r="N196">
        <v>1</v>
      </c>
    </row>
    <row r="197" spans="1:14" x14ac:dyDescent="0.2">
      <c r="A197" t="s">
        <v>34</v>
      </c>
      <c r="B197" t="s">
        <v>463</v>
      </c>
      <c r="C197" t="s">
        <v>228</v>
      </c>
      <c r="D197">
        <v>7</v>
      </c>
      <c r="F197">
        <v>9</v>
      </c>
      <c r="G197">
        <v>0.90909090909090895</v>
      </c>
      <c r="H197">
        <v>0</v>
      </c>
      <c r="I197">
        <v>6.9962962962962894E-2</v>
      </c>
      <c r="J197">
        <v>0</v>
      </c>
      <c r="K197">
        <v>1889</v>
      </c>
      <c r="L197">
        <v>0</v>
      </c>
      <c r="M197">
        <v>27000</v>
      </c>
      <c r="N197">
        <v>1</v>
      </c>
    </row>
    <row r="198" spans="1:14" x14ac:dyDescent="0.2">
      <c r="A198" t="s">
        <v>34</v>
      </c>
      <c r="B198" t="s">
        <v>463</v>
      </c>
      <c r="C198" t="s">
        <v>228</v>
      </c>
      <c r="D198">
        <v>8</v>
      </c>
      <c r="F198">
        <v>11</v>
      </c>
      <c r="G198">
        <v>0.90909090909090895</v>
      </c>
      <c r="H198">
        <v>0</v>
      </c>
      <c r="I198">
        <v>0.08</v>
      </c>
      <c r="J198">
        <v>0</v>
      </c>
      <c r="K198">
        <v>2160</v>
      </c>
      <c r="L198">
        <v>0</v>
      </c>
      <c r="M198">
        <v>27000</v>
      </c>
      <c r="N198">
        <v>1</v>
      </c>
    </row>
    <row r="199" spans="1:14" x14ac:dyDescent="0.2">
      <c r="A199" t="s">
        <v>34</v>
      </c>
      <c r="B199" t="s">
        <v>463</v>
      </c>
      <c r="C199" t="s">
        <v>228</v>
      </c>
      <c r="D199">
        <v>9</v>
      </c>
      <c r="F199">
        <v>13.5</v>
      </c>
      <c r="G199">
        <v>0.90909090909090895</v>
      </c>
      <c r="H199">
        <v>0</v>
      </c>
      <c r="I199">
        <v>0.13807407407407399</v>
      </c>
      <c r="J199">
        <v>0</v>
      </c>
      <c r="K199">
        <v>3728</v>
      </c>
      <c r="L199">
        <v>0</v>
      </c>
      <c r="M199">
        <v>27000</v>
      </c>
      <c r="N199">
        <v>1</v>
      </c>
    </row>
    <row r="200" spans="1:14" x14ac:dyDescent="0.2">
      <c r="A200" t="s">
        <v>34</v>
      </c>
      <c r="B200" t="s">
        <v>463</v>
      </c>
      <c r="C200" t="s">
        <v>228</v>
      </c>
      <c r="D200">
        <v>10</v>
      </c>
      <c r="F200">
        <v>14.6</v>
      </c>
      <c r="G200">
        <v>0.90909090909090895</v>
      </c>
      <c r="H200">
        <v>0</v>
      </c>
      <c r="I200">
        <v>9.9851851851851803E-2</v>
      </c>
      <c r="J200">
        <v>0</v>
      </c>
      <c r="K200">
        <v>2696</v>
      </c>
      <c r="L200">
        <v>0</v>
      </c>
      <c r="M200">
        <v>27000</v>
      </c>
      <c r="N200">
        <v>1</v>
      </c>
    </row>
    <row r="201" spans="1:14" x14ac:dyDescent="0.2">
      <c r="A201" t="s">
        <v>34</v>
      </c>
      <c r="B201" t="s">
        <v>464</v>
      </c>
      <c r="C201" t="s">
        <v>465</v>
      </c>
      <c r="D201">
        <v>10</v>
      </c>
      <c r="G201">
        <v>0.76900000000000002</v>
      </c>
      <c r="H201">
        <v>0</v>
      </c>
      <c r="I201">
        <v>1</v>
      </c>
      <c r="J201">
        <v>0</v>
      </c>
      <c r="K201">
        <v>27000</v>
      </c>
      <c r="L201">
        <v>0</v>
      </c>
      <c r="M201">
        <v>27000</v>
      </c>
      <c r="N201">
        <v>1</v>
      </c>
    </row>
    <row r="202" spans="1:14" x14ac:dyDescent="0.2">
      <c r="A202" t="s">
        <v>43</v>
      </c>
      <c r="B202" t="s">
        <v>462</v>
      </c>
      <c r="C202" t="s">
        <v>175</v>
      </c>
      <c r="D202">
        <v>1</v>
      </c>
      <c r="G202">
        <v>0.4</v>
      </c>
      <c r="H202">
        <v>0</v>
      </c>
      <c r="I202">
        <v>1.4999999999999999E-2</v>
      </c>
      <c r="J202">
        <v>0</v>
      </c>
      <c r="K202">
        <v>15</v>
      </c>
      <c r="L202">
        <v>0</v>
      </c>
      <c r="M202">
        <v>100</v>
      </c>
      <c r="N202">
        <v>1</v>
      </c>
    </row>
    <row r="203" spans="1:14" x14ac:dyDescent="0.2">
      <c r="A203" t="s">
        <v>43</v>
      </c>
      <c r="B203" t="s">
        <v>462</v>
      </c>
      <c r="C203" t="s">
        <v>175</v>
      </c>
      <c r="D203">
        <v>2</v>
      </c>
      <c r="G203">
        <v>0.6</v>
      </c>
      <c r="H203">
        <v>0</v>
      </c>
      <c r="I203">
        <v>0.02</v>
      </c>
      <c r="J203">
        <v>0</v>
      </c>
      <c r="K203">
        <v>20</v>
      </c>
      <c r="L203">
        <v>0</v>
      </c>
      <c r="M203">
        <v>100</v>
      </c>
      <c r="N203">
        <v>1</v>
      </c>
    </row>
    <row r="204" spans="1:14" x14ac:dyDescent="0.2">
      <c r="A204" t="s">
        <v>43</v>
      </c>
      <c r="B204" t="s">
        <v>462</v>
      </c>
      <c r="C204" t="s">
        <v>175</v>
      </c>
      <c r="D204">
        <v>3</v>
      </c>
      <c r="G204">
        <v>0.6</v>
      </c>
      <c r="H204">
        <v>0</v>
      </c>
      <c r="I204">
        <v>0.03</v>
      </c>
      <c r="J204">
        <v>0</v>
      </c>
      <c r="K204">
        <v>30</v>
      </c>
      <c r="L204">
        <v>0</v>
      </c>
      <c r="M204">
        <v>100</v>
      </c>
      <c r="N204">
        <v>1</v>
      </c>
    </row>
    <row r="205" spans="1:14" x14ac:dyDescent="0.2">
      <c r="A205" t="s">
        <v>43</v>
      </c>
      <c r="B205" t="s">
        <v>462</v>
      </c>
      <c r="C205" t="s">
        <v>175</v>
      </c>
      <c r="D205">
        <v>4</v>
      </c>
      <c r="G205">
        <v>0.78</v>
      </c>
      <c r="H205">
        <v>0</v>
      </c>
      <c r="I205">
        <v>0.04</v>
      </c>
      <c r="J205">
        <v>0</v>
      </c>
      <c r="K205">
        <v>40</v>
      </c>
      <c r="L205">
        <v>0</v>
      </c>
      <c r="M205">
        <v>100</v>
      </c>
      <c r="N205">
        <v>1</v>
      </c>
    </row>
    <row r="206" spans="1:14" x14ac:dyDescent="0.2">
      <c r="A206" t="s">
        <v>43</v>
      </c>
      <c r="B206" t="s">
        <v>462</v>
      </c>
      <c r="C206" t="s">
        <v>175</v>
      </c>
      <c r="D206">
        <v>5</v>
      </c>
      <c r="G206">
        <v>0.8</v>
      </c>
      <c r="H206">
        <v>0</v>
      </c>
      <c r="I206">
        <v>0.05</v>
      </c>
      <c r="J206">
        <v>0</v>
      </c>
      <c r="K206">
        <v>50</v>
      </c>
      <c r="L206">
        <v>0</v>
      </c>
      <c r="M206">
        <v>100</v>
      </c>
      <c r="N206">
        <v>1</v>
      </c>
    </row>
    <row r="207" spans="1:14" x14ac:dyDescent="0.2">
      <c r="A207" t="s">
        <v>43</v>
      </c>
      <c r="B207" t="s">
        <v>462</v>
      </c>
      <c r="C207" t="s">
        <v>175</v>
      </c>
      <c r="D207">
        <v>6</v>
      </c>
      <c r="G207">
        <v>0.8</v>
      </c>
      <c r="H207">
        <v>0</v>
      </c>
      <c r="I207">
        <v>0.06</v>
      </c>
      <c r="J207">
        <v>0</v>
      </c>
      <c r="K207">
        <v>60</v>
      </c>
      <c r="L207">
        <v>0</v>
      </c>
      <c r="M207">
        <v>100</v>
      </c>
      <c r="N207">
        <v>1</v>
      </c>
    </row>
    <row r="208" spans="1:14" x14ac:dyDescent="0.2">
      <c r="A208" t="s">
        <v>43</v>
      </c>
      <c r="B208" t="s">
        <v>462</v>
      </c>
      <c r="C208" t="s">
        <v>175</v>
      </c>
      <c r="D208">
        <v>7</v>
      </c>
      <c r="G208">
        <v>0.8</v>
      </c>
      <c r="H208">
        <v>0</v>
      </c>
      <c r="I208">
        <v>6.9999999999999993E-2</v>
      </c>
      <c r="J208">
        <v>0</v>
      </c>
      <c r="K208">
        <v>70</v>
      </c>
      <c r="L208">
        <v>0</v>
      </c>
      <c r="M208">
        <v>100</v>
      </c>
      <c r="N208">
        <v>1</v>
      </c>
    </row>
    <row r="209" spans="1:14" x14ac:dyDescent="0.2">
      <c r="A209" t="s">
        <v>43</v>
      </c>
      <c r="B209" t="s">
        <v>462</v>
      </c>
      <c r="C209" t="s">
        <v>175</v>
      </c>
      <c r="D209">
        <v>8</v>
      </c>
      <c r="G209">
        <v>0.8</v>
      </c>
      <c r="H209">
        <v>0</v>
      </c>
      <c r="I209">
        <v>0.08</v>
      </c>
      <c r="J209">
        <v>0</v>
      </c>
      <c r="K209">
        <v>80</v>
      </c>
      <c r="L209">
        <v>0</v>
      </c>
      <c r="M209">
        <v>100</v>
      </c>
      <c r="N209">
        <v>1</v>
      </c>
    </row>
    <row r="210" spans="1:14" x14ac:dyDescent="0.2">
      <c r="A210" t="s">
        <v>43</v>
      </c>
      <c r="B210" t="s">
        <v>462</v>
      </c>
      <c r="C210" t="s">
        <v>175</v>
      </c>
      <c r="D210">
        <v>9</v>
      </c>
      <c r="G210">
        <v>0.8</v>
      </c>
      <c r="H210">
        <v>0</v>
      </c>
      <c r="I210">
        <v>0.09</v>
      </c>
      <c r="J210">
        <v>0</v>
      </c>
      <c r="K210">
        <v>90</v>
      </c>
      <c r="L210">
        <v>0</v>
      </c>
      <c r="M210">
        <v>100</v>
      </c>
      <c r="N210">
        <v>1</v>
      </c>
    </row>
    <row r="211" spans="1:14" x14ac:dyDescent="0.2">
      <c r="A211" t="s">
        <v>43</v>
      </c>
      <c r="B211" t="s">
        <v>462</v>
      </c>
      <c r="C211" t="s">
        <v>175</v>
      </c>
      <c r="D211">
        <v>10</v>
      </c>
      <c r="G211">
        <v>0.8</v>
      </c>
      <c r="H211">
        <v>0</v>
      </c>
      <c r="I211">
        <v>0.09</v>
      </c>
      <c r="J211">
        <v>0</v>
      </c>
      <c r="K211">
        <v>90</v>
      </c>
      <c r="L211">
        <v>0</v>
      </c>
      <c r="M211">
        <v>100</v>
      </c>
      <c r="N211">
        <v>1</v>
      </c>
    </row>
    <row r="212" spans="1:14" x14ac:dyDescent="0.2">
      <c r="A212" t="s">
        <v>43</v>
      </c>
      <c r="B212" t="s">
        <v>463</v>
      </c>
      <c r="C212" t="s">
        <v>228</v>
      </c>
      <c r="D212">
        <v>1</v>
      </c>
      <c r="F212">
        <v>1.7</v>
      </c>
      <c r="G212">
        <v>0.4</v>
      </c>
      <c r="H212">
        <v>0</v>
      </c>
      <c r="I212">
        <v>1.4999999999999999E-2</v>
      </c>
      <c r="J212">
        <v>0</v>
      </c>
      <c r="K212">
        <v>15</v>
      </c>
      <c r="L212">
        <v>0</v>
      </c>
      <c r="M212">
        <v>100</v>
      </c>
      <c r="N212">
        <v>1</v>
      </c>
    </row>
    <row r="213" spans="1:14" x14ac:dyDescent="0.2">
      <c r="A213" t="s">
        <v>43</v>
      </c>
      <c r="B213" t="s">
        <v>463</v>
      </c>
      <c r="C213" t="s">
        <v>228</v>
      </c>
      <c r="D213">
        <v>2</v>
      </c>
      <c r="F213">
        <v>2.6</v>
      </c>
      <c r="G213">
        <v>0.6</v>
      </c>
      <c r="H213">
        <v>0</v>
      </c>
      <c r="I213">
        <v>0.02</v>
      </c>
      <c r="J213">
        <v>0</v>
      </c>
      <c r="K213">
        <v>20</v>
      </c>
      <c r="L213">
        <v>0</v>
      </c>
      <c r="M213">
        <v>100</v>
      </c>
      <c r="N213">
        <v>1</v>
      </c>
    </row>
    <row r="214" spans="1:14" x14ac:dyDescent="0.2">
      <c r="A214" t="s">
        <v>43</v>
      </c>
      <c r="B214" t="s">
        <v>463</v>
      </c>
      <c r="C214" t="s">
        <v>228</v>
      </c>
      <c r="D214">
        <v>3</v>
      </c>
      <c r="F214">
        <v>3.5</v>
      </c>
      <c r="G214">
        <v>0.6</v>
      </c>
      <c r="H214">
        <v>0</v>
      </c>
      <c r="I214">
        <v>0.03</v>
      </c>
      <c r="J214">
        <v>0</v>
      </c>
      <c r="K214">
        <v>30</v>
      </c>
      <c r="L214">
        <v>0</v>
      </c>
      <c r="M214">
        <v>100</v>
      </c>
      <c r="N214">
        <v>1</v>
      </c>
    </row>
    <row r="215" spans="1:14" x14ac:dyDescent="0.2">
      <c r="A215" t="s">
        <v>43</v>
      </c>
      <c r="B215" t="s">
        <v>463</v>
      </c>
      <c r="C215" t="s">
        <v>228</v>
      </c>
      <c r="D215">
        <v>4</v>
      </c>
      <c r="F215">
        <v>5</v>
      </c>
      <c r="G215">
        <v>0.8</v>
      </c>
      <c r="H215">
        <v>0</v>
      </c>
      <c r="I215">
        <v>0.04</v>
      </c>
      <c r="J215">
        <v>0</v>
      </c>
      <c r="K215">
        <v>40</v>
      </c>
      <c r="L215">
        <v>0</v>
      </c>
      <c r="M215">
        <v>100</v>
      </c>
      <c r="N215">
        <v>1</v>
      </c>
    </row>
    <row r="216" spans="1:14" x14ac:dyDescent="0.2">
      <c r="A216" t="s">
        <v>43</v>
      </c>
      <c r="B216" t="s">
        <v>463</v>
      </c>
      <c r="C216" t="s">
        <v>228</v>
      </c>
      <c r="D216">
        <v>5</v>
      </c>
      <c r="F216">
        <v>5.7</v>
      </c>
      <c r="G216">
        <v>0.8</v>
      </c>
      <c r="H216">
        <v>0</v>
      </c>
      <c r="I216">
        <v>0.05</v>
      </c>
      <c r="J216">
        <v>0</v>
      </c>
      <c r="K216">
        <v>50</v>
      </c>
      <c r="L216">
        <v>0</v>
      </c>
      <c r="M216">
        <v>100</v>
      </c>
      <c r="N216">
        <v>1</v>
      </c>
    </row>
    <row r="217" spans="1:14" x14ac:dyDescent="0.2">
      <c r="A217" t="s">
        <v>43</v>
      </c>
      <c r="B217" t="s">
        <v>463</v>
      </c>
      <c r="C217" t="s">
        <v>228</v>
      </c>
      <c r="D217">
        <v>6</v>
      </c>
      <c r="F217">
        <v>6.9</v>
      </c>
      <c r="G217">
        <v>0.8</v>
      </c>
      <c r="H217">
        <v>0</v>
      </c>
      <c r="I217">
        <v>0.06</v>
      </c>
      <c r="J217">
        <v>0</v>
      </c>
      <c r="K217">
        <v>60</v>
      </c>
      <c r="L217">
        <v>0</v>
      </c>
      <c r="M217">
        <v>100</v>
      </c>
      <c r="N217">
        <v>1</v>
      </c>
    </row>
    <row r="218" spans="1:14" x14ac:dyDescent="0.2">
      <c r="A218" t="s">
        <v>43</v>
      </c>
      <c r="B218" t="s">
        <v>463</v>
      </c>
      <c r="C218" t="s">
        <v>228</v>
      </c>
      <c r="D218">
        <v>7</v>
      </c>
      <c r="F218">
        <v>7.7</v>
      </c>
      <c r="G218">
        <v>0.8</v>
      </c>
      <c r="H218">
        <v>0</v>
      </c>
      <c r="I218">
        <v>6.9999999999999993E-2</v>
      </c>
      <c r="J218">
        <v>0</v>
      </c>
      <c r="K218">
        <v>70</v>
      </c>
      <c r="L218">
        <v>0</v>
      </c>
      <c r="M218">
        <v>100</v>
      </c>
      <c r="N218">
        <v>1</v>
      </c>
    </row>
    <row r="219" spans="1:14" x14ac:dyDescent="0.2">
      <c r="A219" t="s">
        <v>43</v>
      </c>
      <c r="B219" t="s">
        <v>463</v>
      </c>
      <c r="C219" t="s">
        <v>228</v>
      </c>
      <c r="D219">
        <v>8</v>
      </c>
      <c r="F219">
        <v>8.9</v>
      </c>
      <c r="G219">
        <v>0.8</v>
      </c>
      <c r="H219">
        <v>0</v>
      </c>
      <c r="I219">
        <v>0.08</v>
      </c>
      <c r="J219">
        <v>0</v>
      </c>
      <c r="K219">
        <v>80</v>
      </c>
      <c r="L219">
        <v>0</v>
      </c>
      <c r="M219">
        <v>100</v>
      </c>
      <c r="N219">
        <v>1</v>
      </c>
    </row>
    <row r="220" spans="1:14" x14ac:dyDescent="0.2">
      <c r="A220" t="s">
        <v>43</v>
      </c>
      <c r="B220" t="s">
        <v>463</v>
      </c>
      <c r="C220" t="s">
        <v>228</v>
      </c>
      <c r="D220">
        <v>9</v>
      </c>
      <c r="F220">
        <v>9.8000000000000007</v>
      </c>
      <c r="G220">
        <v>0.8</v>
      </c>
      <c r="H220">
        <v>0</v>
      </c>
      <c r="I220">
        <v>0.09</v>
      </c>
      <c r="J220">
        <v>0</v>
      </c>
      <c r="K220">
        <v>90</v>
      </c>
      <c r="L220">
        <v>0</v>
      </c>
      <c r="M220">
        <v>100</v>
      </c>
      <c r="N220">
        <v>1</v>
      </c>
    </row>
    <row r="221" spans="1:14" x14ac:dyDescent="0.2">
      <c r="A221" t="s">
        <v>43</v>
      </c>
      <c r="B221" t="s">
        <v>464</v>
      </c>
      <c r="C221" t="s">
        <v>465</v>
      </c>
      <c r="D221">
        <v>10</v>
      </c>
      <c r="G221">
        <v>0.79600000000000004</v>
      </c>
      <c r="H221">
        <v>0</v>
      </c>
      <c r="I221">
        <v>0.1</v>
      </c>
      <c r="J221">
        <v>0</v>
      </c>
      <c r="K221">
        <v>100</v>
      </c>
      <c r="L221">
        <v>0</v>
      </c>
      <c r="M221">
        <v>100</v>
      </c>
      <c r="N221">
        <v>1</v>
      </c>
    </row>
    <row r="222" spans="1:14" x14ac:dyDescent="0.2">
      <c r="A222" t="s">
        <v>45</v>
      </c>
      <c r="B222" t="s">
        <v>462</v>
      </c>
      <c r="C222" t="s">
        <v>175</v>
      </c>
      <c r="D222">
        <v>1</v>
      </c>
      <c r="G222">
        <v>0.66666666666666696</v>
      </c>
      <c r="H222">
        <v>0</v>
      </c>
      <c r="I222">
        <v>9.7744360902255606E-3</v>
      </c>
      <c r="J222">
        <v>0</v>
      </c>
      <c r="K222">
        <v>26</v>
      </c>
      <c r="L222">
        <v>0</v>
      </c>
      <c r="M222">
        <v>266</v>
      </c>
      <c r="N222">
        <v>1</v>
      </c>
    </row>
    <row r="223" spans="1:14" x14ac:dyDescent="0.2">
      <c r="A223" t="s">
        <v>45</v>
      </c>
      <c r="B223" t="s">
        <v>462</v>
      </c>
      <c r="C223" t="s">
        <v>175</v>
      </c>
      <c r="D223">
        <v>2</v>
      </c>
      <c r="G223">
        <v>0.66666666666666696</v>
      </c>
      <c r="H223">
        <v>0</v>
      </c>
      <c r="I223">
        <v>1.9924812030075179E-2</v>
      </c>
      <c r="J223">
        <v>0</v>
      </c>
      <c r="K223">
        <v>53</v>
      </c>
      <c r="L223">
        <v>0</v>
      </c>
      <c r="M223">
        <v>266</v>
      </c>
      <c r="N223">
        <v>1</v>
      </c>
    </row>
    <row r="224" spans="1:14" x14ac:dyDescent="0.2">
      <c r="A224" t="s">
        <v>45</v>
      </c>
      <c r="B224" t="s">
        <v>462</v>
      </c>
      <c r="C224" t="s">
        <v>175</v>
      </c>
      <c r="D224">
        <v>3</v>
      </c>
      <c r="G224">
        <v>0.66666666666666696</v>
      </c>
      <c r="H224">
        <v>0</v>
      </c>
      <c r="I224">
        <v>2.969924812030075E-2</v>
      </c>
      <c r="J224">
        <v>0</v>
      </c>
      <c r="K224">
        <v>79</v>
      </c>
      <c r="L224">
        <v>0</v>
      </c>
      <c r="M224">
        <v>266</v>
      </c>
      <c r="N224">
        <v>1</v>
      </c>
    </row>
    <row r="225" spans="1:14" x14ac:dyDescent="0.2">
      <c r="A225" t="s">
        <v>45</v>
      </c>
      <c r="B225" t="s">
        <v>462</v>
      </c>
      <c r="C225" t="s">
        <v>175</v>
      </c>
      <c r="D225">
        <v>4</v>
      </c>
      <c r="G225">
        <v>0.66666666666666696</v>
      </c>
      <c r="H225">
        <v>0</v>
      </c>
      <c r="I225">
        <v>3.9849624060150371E-2</v>
      </c>
      <c r="J225">
        <v>0</v>
      </c>
      <c r="K225">
        <v>106</v>
      </c>
      <c r="L225">
        <v>0</v>
      </c>
      <c r="M225">
        <v>266</v>
      </c>
      <c r="N225">
        <v>1</v>
      </c>
    </row>
    <row r="226" spans="1:14" x14ac:dyDescent="0.2">
      <c r="A226" t="s">
        <v>45</v>
      </c>
      <c r="B226" t="s">
        <v>462</v>
      </c>
      <c r="C226" t="s">
        <v>175</v>
      </c>
      <c r="D226">
        <v>5</v>
      </c>
      <c r="G226">
        <v>0.66666666666666696</v>
      </c>
      <c r="H226">
        <v>0</v>
      </c>
      <c r="I226">
        <v>0.05</v>
      </c>
      <c r="J226">
        <v>0</v>
      </c>
      <c r="K226">
        <v>133</v>
      </c>
      <c r="L226">
        <v>0</v>
      </c>
      <c r="M226">
        <v>266</v>
      </c>
      <c r="N226">
        <v>1</v>
      </c>
    </row>
    <row r="227" spans="1:14" x14ac:dyDescent="0.2">
      <c r="A227" t="s">
        <v>45</v>
      </c>
      <c r="B227" t="s">
        <v>462</v>
      </c>
      <c r="C227" t="s">
        <v>175</v>
      </c>
      <c r="D227">
        <v>6</v>
      </c>
      <c r="G227">
        <v>0.66666666666666696</v>
      </c>
      <c r="H227">
        <v>0</v>
      </c>
      <c r="I227">
        <v>5.977443609022557E-2</v>
      </c>
      <c r="J227">
        <v>0</v>
      </c>
      <c r="K227">
        <v>159</v>
      </c>
      <c r="L227">
        <v>0</v>
      </c>
      <c r="M227">
        <v>266</v>
      </c>
      <c r="N227">
        <v>1</v>
      </c>
    </row>
    <row r="228" spans="1:14" x14ac:dyDescent="0.2">
      <c r="A228" t="s">
        <v>45</v>
      </c>
      <c r="B228" t="s">
        <v>462</v>
      </c>
      <c r="C228" t="s">
        <v>175</v>
      </c>
      <c r="D228">
        <v>7</v>
      </c>
      <c r="G228">
        <v>0.8</v>
      </c>
      <c r="H228">
        <v>0</v>
      </c>
      <c r="I228">
        <v>6.9924812030075195E-2</v>
      </c>
      <c r="J228">
        <v>0</v>
      </c>
      <c r="K228">
        <v>186</v>
      </c>
      <c r="L228">
        <v>0</v>
      </c>
      <c r="M228">
        <v>266</v>
      </c>
      <c r="N228">
        <v>1</v>
      </c>
    </row>
    <row r="229" spans="1:14" x14ac:dyDescent="0.2">
      <c r="A229" t="s">
        <v>45</v>
      </c>
      <c r="B229" t="s">
        <v>462</v>
      </c>
      <c r="C229" t="s">
        <v>175</v>
      </c>
      <c r="D229">
        <v>8</v>
      </c>
      <c r="G229">
        <v>0.8</v>
      </c>
      <c r="H229">
        <v>0</v>
      </c>
      <c r="I229">
        <v>7.9699248120300742E-2</v>
      </c>
      <c r="J229">
        <v>0</v>
      </c>
      <c r="K229">
        <v>212</v>
      </c>
      <c r="L229">
        <v>0</v>
      </c>
      <c r="M229">
        <v>266</v>
      </c>
      <c r="N229">
        <v>1</v>
      </c>
    </row>
    <row r="230" spans="1:14" x14ac:dyDescent="0.2">
      <c r="A230" t="s">
        <v>45</v>
      </c>
      <c r="B230" t="s">
        <v>462</v>
      </c>
      <c r="C230" t="s">
        <v>175</v>
      </c>
      <c r="D230">
        <v>9</v>
      </c>
      <c r="G230">
        <v>0.8</v>
      </c>
      <c r="H230">
        <v>0</v>
      </c>
      <c r="I230">
        <v>8.9849624060150374E-2</v>
      </c>
      <c r="J230">
        <v>0</v>
      </c>
      <c r="K230">
        <v>239</v>
      </c>
      <c r="L230">
        <v>0</v>
      </c>
      <c r="M230">
        <v>266</v>
      </c>
      <c r="N230">
        <v>1</v>
      </c>
    </row>
    <row r="231" spans="1:14" x14ac:dyDescent="0.2">
      <c r="A231" t="s">
        <v>45</v>
      </c>
      <c r="B231" t="s">
        <v>462</v>
      </c>
      <c r="C231" t="s">
        <v>175</v>
      </c>
      <c r="D231">
        <v>10</v>
      </c>
      <c r="G231">
        <v>0.8</v>
      </c>
      <c r="H231">
        <v>0</v>
      </c>
      <c r="I231">
        <v>8.9849624060150374E-2</v>
      </c>
      <c r="J231">
        <v>0</v>
      </c>
      <c r="K231">
        <v>239</v>
      </c>
      <c r="L231">
        <v>0</v>
      </c>
      <c r="M231">
        <v>266</v>
      </c>
      <c r="N231">
        <v>1</v>
      </c>
    </row>
    <row r="232" spans="1:14" x14ac:dyDescent="0.2">
      <c r="A232" t="s">
        <v>45</v>
      </c>
      <c r="B232" t="s">
        <v>463</v>
      </c>
      <c r="C232" t="s">
        <v>228</v>
      </c>
      <c r="D232">
        <v>1</v>
      </c>
      <c r="F232">
        <f>D232+1.4</f>
        <v>2.4</v>
      </c>
      <c r="G232">
        <v>0.66666666666666696</v>
      </c>
      <c r="H232">
        <v>0</v>
      </c>
      <c r="I232">
        <v>9.7744360902255606E-3</v>
      </c>
      <c r="J232">
        <v>0</v>
      </c>
      <c r="K232">
        <v>26</v>
      </c>
      <c r="L232">
        <v>0</v>
      </c>
      <c r="M232">
        <v>266</v>
      </c>
      <c r="N232">
        <v>1</v>
      </c>
    </row>
    <row r="233" spans="1:14" x14ac:dyDescent="0.2">
      <c r="A233" t="s">
        <v>45</v>
      </c>
      <c r="B233" t="s">
        <v>463</v>
      </c>
      <c r="C233" t="s">
        <v>228</v>
      </c>
      <c r="D233">
        <v>2</v>
      </c>
      <c r="F233">
        <f>D233+1.4</f>
        <v>3.4</v>
      </c>
      <c r="G233">
        <v>0.66666666666666696</v>
      </c>
      <c r="H233">
        <v>0</v>
      </c>
      <c r="I233">
        <v>1.9924812030075179E-2</v>
      </c>
      <c r="J233">
        <v>0</v>
      </c>
      <c r="K233">
        <v>53</v>
      </c>
      <c r="L233">
        <v>0</v>
      </c>
      <c r="M233">
        <v>266</v>
      </c>
      <c r="N233">
        <v>1</v>
      </c>
    </row>
    <row r="234" spans="1:14" x14ac:dyDescent="0.2">
      <c r="A234" t="s">
        <v>45</v>
      </c>
      <c r="B234" t="s">
        <v>463</v>
      </c>
      <c r="C234" t="s">
        <v>228</v>
      </c>
      <c r="D234">
        <v>3</v>
      </c>
      <c r="F234">
        <f>D234+1.4</f>
        <v>4.4000000000000004</v>
      </c>
      <c r="G234">
        <v>0.66666666666666696</v>
      </c>
      <c r="H234">
        <v>0</v>
      </c>
      <c r="I234">
        <v>2.969924812030075E-2</v>
      </c>
      <c r="J234">
        <v>0</v>
      </c>
      <c r="K234">
        <v>79</v>
      </c>
      <c r="L234">
        <v>0</v>
      </c>
      <c r="M234">
        <v>266</v>
      </c>
      <c r="N234">
        <v>1</v>
      </c>
    </row>
    <row r="235" spans="1:14" x14ac:dyDescent="0.2">
      <c r="A235" t="s">
        <v>45</v>
      </c>
      <c r="B235" t="s">
        <v>463</v>
      </c>
      <c r="C235" t="s">
        <v>228</v>
      </c>
      <c r="D235">
        <v>4</v>
      </c>
      <c r="F235">
        <v>6.2</v>
      </c>
      <c r="G235">
        <v>0.8</v>
      </c>
      <c r="H235">
        <v>0</v>
      </c>
      <c r="I235">
        <v>3.9849624060150371E-2</v>
      </c>
      <c r="J235">
        <v>0</v>
      </c>
      <c r="K235">
        <v>106</v>
      </c>
      <c r="L235">
        <v>0</v>
      </c>
      <c r="M235">
        <v>266</v>
      </c>
      <c r="N235">
        <v>1</v>
      </c>
    </row>
    <row r="236" spans="1:14" x14ac:dyDescent="0.2">
      <c r="A236" t="s">
        <v>45</v>
      </c>
      <c r="B236" t="s">
        <v>463</v>
      </c>
      <c r="C236" t="s">
        <v>228</v>
      </c>
      <c r="D236">
        <v>5</v>
      </c>
      <c r="F236">
        <v>7.4</v>
      </c>
      <c r="G236">
        <v>0.8</v>
      </c>
      <c r="H236">
        <v>0</v>
      </c>
      <c r="I236">
        <v>0.05</v>
      </c>
      <c r="J236">
        <v>0</v>
      </c>
      <c r="K236">
        <v>133</v>
      </c>
      <c r="L236">
        <v>0</v>
      </c>
      <c r="M236">
        <v>266</v>
      </c>
      <c r="N236">
        <v>1</v>
      </c>
    </row>
    <row r="237" spans="1:14" x14ac:dyDescent="0.2">
      <c r="A237" t="s">
        <v>45</v>
      </c>
      <c r="B237" t="s">
        <v>463</v>
      </c>
      <c r="C237" t="s">
        <v>228</v>
      </c>
      <c r="D237">
        <v>6</v>
      </c>
      <c r="F237">
        <v>8.1999999999999993</v>
      </c>
      <c r="G237">
        <v>0.8</v>
      </c>
      <c r="H237">
        <v>0</v>
      </c>
      <c r="I237">
        <v>5.977443609022557E-2</v>
      </c>
      <c r="J237">
        <v>0</v>
      </c>
      <c r="K237">
        <v>159</v>
      </c>
      <c r="L237">
        <v>0</v>
      </c>
      <c r="M237">
        <v>266</v>
      </c>
      <c r="N237">
        <v>1</v>
      </c>
    </row>
    <row r="238" spans="1:14" x14ac:dyDescent="0.2">
      <c r="A238" t="s">
        <v>45</v>
      </c>
      <c r="B238" t="s">
        <v>463</v>
      </c>
      <c r="C238" t="s">
        <v>228</v>
      </c>
      <c r="D238">
        <v>7</v>
      </c>
      <c r="F238">
        <v>8.9</v>
      </c>
      <c r="G238">
        <v>0.8</v>
      </c>
      <c r="H238">
        <v>0</v>
      </c>
      <c r="I238">
        <v>6.9924812030075195E-2</v>
      </c>
      <c r="J238">
        <v>0</v>
      </c>
      <c r="K238">
        <v>186</v>
      </c>
      <c r="L238">
        <v>0</v>
      </c>
      <c r="M238">
        <v>266</v>
      </c>
      <c r="N238">
        <v>1</v>
      </c>
    </row>
    <row r="239" spans="1:14" x14ac:dyDescent="0.2">
      <c r="A239" t="s">
        <v>45</v>
      </c>
      <c r="B239" t="s">
        <v>463</v>
      </c>
      <c r="C239" t="s">
        <v>228</v>
      </c>
      <c r="D239">
        <v>8</v>
      </c>
      <c r="F239">
        <v>9.5</v>
      </c>
      <c r="G239">
        <v>0.8</v>
      </c>
      <c r="H239">
        <v>0</v>
      </c>
      <c r="I239">
        <v>7.9699248120300742E-2</v>
      </c>
      <c r="J239">
        <v>0</v>
      </c>
      <c r="K239">
        <v>212</v>
      </c>
      <c r="L239">
        <v>0</v>
      </c>
      <c r="M239">
        <v>266</v>
      </c>
      <c r="N239">
        <v>1</v>
      </c>
    </row>
    <row r="240" spans="1:14" x14ac:dyDescent="0.2">
      <c r="A240" t="s">
        <v>45</v>
      </c>
      <c r="B240" t="s">
        <v>463</v>
      </c>
      <c r="C240" t="s">
        <v>228</v>
      </c>
      <c r="D240">
        <v>9</v>
      </c>
      <c r="F240">
        <v>11</v>
      </c>
      <c r="G240">
        <v>0.8</v>
      </c>
      <c r="H240">
        <v>0</v>
      </c>
      <c r="I240">
        <v>8.9849624060150374E-2</v>
      </c>
      <c r="J240">
        <v>0</v>
      </c>
      <c r="K240">
        <v>239</v>
      </c>
      <c r="L240">
        <v>0</v>
      </c>
      <c r="M240">
        <v>266</v>
      </c>
      <c r="N240">
        <v>1</v>
      </c>
    </row>
    <row r="241" spans="1:14" x14ac:dyDescent="0.2">
      <c r="A241" t="s">
        <v>45</v>
      </c>
      <c r="B241" t="s">
        <v>464</v>
      </c>
      <c r="C241" t="s">
        <v>465</v>
      </c>
      <c r="D241">
        <v>10</v>
      </c>
      <c r="G241">
        <v>0.8</v>
      </c>
      <c r="H241">
        <v>0</v>
      </c>
      <c r="I241">
        <v>0.1</v>
      </c>
      <c r="J241">
        <v>0</v>
      </c>
      <c r="K241">
        <v>266</v>
      </c>
      <c r="L241">
        <v>0</v>
      </c>
      <c r="M241">
        <v>266</v>
      </c>
      <c r="N241">
        <v>1</v>
      </c>
    </row>
    <row r="242" spans="1:14" x14ac:dyDescent="0.2">
      <c r="A242" t="s">
        <v>46</v>
      </c>
      <c r="B242" t="s">
        <v>462</v>
      </c>
      <c r="C242" t="s">
        <v>175</v>
      </c>
      <c r="D242">
        <v>1</v>
      </c>
      <c r="G242">
        <v>0.53846153846153799</v>
      </c>
      <c r="H242">
        <v>0</v>
      </c>
      <c r="I242">
        <v>9.9579242636746099E-3</v>
      </c>
      <c r="J242">
        <v>0</v>
      </c>
      <c r="K242">
        <v>142</v>
      </c>
      <c r="L242">
        <v>0</v>
      </c>
      <c r="M242">
        <v>1426</v>
      </c>
      <c r="N242">
        <v>1</v>
      </c>
    </row>
    <row r="243" spans="1:14" x14ac:dyDescent="0.2">
      <c r="A243" t="s">
        <v>46</v>
      </c>
      <c r="B243" t="s">
        <v>462</v>
      </c>
      <c r="C243" t="s">
        <v>175</v>
      </c>
      <c r="D243">
        <v>2</v>
      </c>
      <c r="G243">
        <v>0.53846153846153799</v>
      </c>
      <c r="H243">
        <v>0</v>
      </c>
      <c r="I243">
        <v>1.9985974754558201E-2</v>
      </c>
      <c r="J243">
        <v>0</v>
      </c>
      <c r="K243">
        <v>285</v>
      </c>
      <c r="L243">
        <v>0</v>
      </c>
      <c r="M243">
        <v>1426</v>
      </c>
      <c r="N243">
        <v>1</v>
      </c>
    </row>
    <row r="244" spans="1:14" x14ac:dyDescent="0.2">
      <c r="A244" t="s">
        <v>46</v>
      </c>
      <c r="B244" t="s">
        <v>462</v>
      </c>
      <c r="C244" t="s">
        <v>175</v>
      </c>
      <c r="D244">
        <v>3</v>
      </c>
      <c r="G244">
        <v>0.56000000000000005</v>
      </c>
      <c r="H244">
        <v>0</v>
      </c>
      <c r="I244">
        <v>2.9943899018232811E-2</v>
      </c>
      <c r="J244">
        <v>0</v>
      </c>
      <c r="K244">
        <v>427</v>
      </c>
      <c r="L244">
        <v>0</v>
      </c>
      <c r="M244">
        <v>1426</v>
      </c>
      <c r="N244">
        <v>1</v>
      </c>
    </row>
    <row r="245" spans="1:14" x14ac:dyDescent="0.2">
      <c r="A245" t="s">
        <v>46</v>
      </c>
      <c r="B245" t="s">
        <v>462</v>
      </c>
      <c r="C245" t="s">
        <v>175</v>
      </c>
      <c r="D245">
        <v>4</v>
      </c>
      <c r="G245">
        <v>0.57299999999999995</v>
      </c>
      <c r="H245">
        <v>0</v>
      </c>
      <c r="I245">
        <v>3.9971949509116408E-2</v>
      </c>
      <c r="J245">
        <v>0</v>
      </c>
      <c r="K245">
        <v>570</v>
      </c>
      <c r="L245">
        <v>0</v>
      </c>
      <c r="M245">
        <v>1426</v>
      </c>
      <c r="N245">
        <v>1</v>
      </c>
    </row>
    <row r="246" spans="1:14" x14ac:dyDescent="0.2">
      <c r="A246" t="s">
        <v>46</v>
      </c>
      <c r="B246" t="s">
        <v>462</v>
      </c>
      <c r="C246" t="s">
        <v>175</v>
      </c>
      <c r="D246">
        <v>5</v>
      </c>
      <c r="G246">
        <v>0.58333333333333304</v>
      </c>
      <c r="H246">
        <v>0</v>
      </c>
      <c r="I246">
        <v>0.05</v>
      </c>
      <c r="J246">
        <v>0</v>
      </c>
      <c r="K246">
        <v>713</v>
      </c>
      <c r="L246">
        <v>0</v>
      </c>
      <c r="M246">
        <v>1426</v>
      </c>
      <c r="N246">
        <v>1</v>
      </c>
    </row>
    <row r="247" spans="1:14" x14ac:dyDescent="0.2">
      <c r="A247" t="s">
        <v>46</v>
      </c>
      <c r="B247" t="s">
        <v>462</v>
      </c>
      <c r="C247" t="s">
        <v>175</v>
      </c>
      <c r="D247">
        <v>6</v>
      </c>
      <c r="G247">
        <v>0.58333333333333304</v>
      </c>
      <c r="H247">
        <v>0</v>
      </c>
      <c r="I247">
        <v>5.9957924263674613E-2</v>
      </c>
      <c r="J247">
        <v>0</v>
      </c>
      <c r="K247">
        <v>855</v>
      </c>
      <c r="L247">
        <v>0</v>
      </c>
      <c r="M247">
        <v>1426</v>
      </c>
      <c r="N247">
        <v>1</v>
      </c>
    </row>
    <row r="248" spans="1:14" x14ac:dyDescent="0.2">
      <c r="A248" t="s">
        <v>46</v>
      </c>
      <c r="B248" t="s">
        <v>462</v>
      </c>
      <c r="C248" t="s">
        <v>175</v>
      </c>
      <c r="D248">
        <v>7</v>
      </c>
      <c r="G248">
        <v>0.58333333333333304</v>
      </c>
      <c r="H248">
        <v>0</v>
      </c>
      <c r="I248">
        <v>6.99859747545582E-2</v>
      </c>
      <c r="J248">
        <v>0</v>
      </c>
      <c r="K248">
        <v>998</v>
      </c>
      <c r="L248">
        <v>0</v>
      </c>
      <c r="M248">
        <v>1426</v>
      </c>
      <c r="N248">
        <v>1</v>
      </c>
    </row>
    <row r="249" spans="1:14" x14ac:dyDescent="0.2">
      <c r="A249" t="s">
        <v>46</v>
      </c>
      <c r="B249" t="s">
        <v>462</v>
      </c>
      <c r="C249" t="s">
        <v>175</v>
      </c>
      <c r="D249">
        <v>8</v>
      </c>
      <c r="G249">
        <v>0.60869565217391297</v>
      </c>
      <c r="H249">
        <v>0</v>
      </c>
      <c r="I249">
        <v>7.9943899018232817E-2</v>
      </c>
      <c r="J249">
        <v>0</v>
      </c>
      <c r="K249">
        <v>1140</v>
      </c>
      <c r="L249">
        <v>0</v>
      </c>
      <c r="M249">
        <v>1426</v>
      </c>
      <c r="N249">
        <v>1</v>
      </c>
    </row>
    <row r="250" spans="1:14" x14ac:dyDescent="0.2">
      <c r="A250" t="s">
        <v>46</v>
      </c>
      <c r="B250" t="s">
        <v>462</v>
      </c>
      <c r="C250" t="s">
        <v>175</v>
      </c>
      <c r="D250">
        <v>9</v>
      </c>
      <c r="G250">
        <v>0.63636363636363602</v>
      </c>
      <c r="H250">
        <v>0</v>
      </c>
      <c r="I250">
        <v>8.9971949509116411E-2</v>
      </c>
      <c r="J250">
        <v>0</v>
      </c>
      <c r="K250">
        <v>1283</v>
      </c>
      <c r="L250">
        <v>0</v>
      </c>
      <c r="M250">
        <v>1426</v>
      </c>
      <c r="N250">
        <v>1</v>
      </c>
    </row>
    <row r="251" spans="1:14" x14ac:dyDescent="0.2">
      <c r="A251" t="s">
        <v>46</v>
      </c>
      <c r="B251" t="s">
        <v>462</v>
      </c>
      <c r="C251" t="s">
        <v>175</v>
      </c>
      <c r="D251">
        <v>10</v>
      </c>
      <c r="G251">
        <v>0.63636363636363602</v>
      </c>
      <c r="H251">
        <v>0</v>
      </c>
      <c r="I251">
        <v>8.9971949509116411E-2</v>
      </c>
      <c r="J251">
        <v>0</v>
      </c>
      <c r="K251">
        <v>1283</v>
      </c>
      <c r="L251">
        <v>0</v>
      </c>
      <c r="M251">
        <v>1426</v>
      </c>
      <c r="N251">
        <v>1</v>
      </c>
    </row>
    <row r="252" spans="1:14" x14ac:dyDescent="0.2">
      <c r="A252" t="s">
        <v>46</v>
      </c>
      <c r="B252" t="s">
        <v>463</v>
      </c>
      <c r="C252" t="s">
        <v>228</v>
      </c>
      <c r="D252">
        <v>1</v>
      </c>
      <c r="F252">
        <v>1.1000000000000001</v>
      </c>
      <c r="G252">
        <v>0.57499999999999996</v>
      </c>
      <c r="H252">
        <v>0</v>
      </c>
      <c r="I252">
        <v>9.9579242636746099E-3</v>
      </c>
      <c r="J252">
        <v>0</v>
      </c>
      <c r="K252">
        <v>142</v>
      </c>
      <c r="L252">
        <v>0</v>
      </c>
      <c r="M252">
        <v>1426</v>
      </c>
      <c r="N252">
        <v>1</v>
      </c>
    </row>
    <row r="253" spans="1:14" x14ac:dyDescent="0.2">
      <c r="A253" t="s">
        <v>46</v>
      </c>
      <c r="B253" t="s">
        <v>463</v>
      </c>
      <c r="C253" t="s">
        <v>228</v>
      </c>
      <c r="D253">
        <v>2</v>
      </c>
      <c r="F253">
        <v>2.1</v>
      </c>
      <c r="G253">
        <v>0.58333333333333304</v>
      </c>
      <c r="H253">
        <v>0</v>
      </c>
      <c r="I253">
        <v>2.7980364656381481E-2</v>
      </c>
      <c r="J253">
        <v>0</v>
      </c>
      <c r="K253">
        <v>399</v>
      </c>
      <c r="L253">
        <v>0</v>
      </c>
      <c r="M253">
        <v>1426</v>
      </c>
      <c r="N253">
        <v>1</v>
      </c>
    </row>
    <row r="254" spans="1:14" x14ac:dyDescent="0.2">
      <c r="A254" t="s">
        <v>46</v>
      </c>
      <c r="B254" t="s">
        <v>463</v>
      </c>
      <c r="C254" t="s">
        <v>228</v>
      </c>
      <c r="D254">
        <v>3</v>
      </c>
      <c r="F254">
        <v>3.4</v>
      </c>
      <c r="G254">
        <v>0.58333333333333304</v>
      </c>
      <c r="H254">
        <v>0</v>
      </c>
      <c r="I254">
        <v>3.695652173913043E-2</v>
      </c>
      <c r="J254">
        <v>0</v>
      </c>
      <c r="K254">
        <v>527</v>
      </c>
      <c r="L254">
        <v>0</v>
      </c>
      <c r="M254">
        <v>1426</v>
      </c>
      <c r="N254">
        <v>1</v>
      </c>
    </row>
    <row r="255" spans="1:14" x14ac:dyDescent="0.2">
      <c r="A255" t="s">
        <v>46</v>
      </c>
      <c r="B255" t="s">
        <v>463</v>
      </c>
      <c r="C255" t="s">
        <v>228</v>
      </c>
      <c r="D255">
        <v>4</v>
      </c>
      <c r="F255">
        <v>4.2</v>
      </c>
      <c r="G255">
        <v>0.60869565217391297</v>
      </c>
      <c r="H255">
        <v>0</v>
      </c>
      <c r="I255">
        <v>4.6002805049088359E-2</v>
      </c>
      <c r="J255">
        <v>0</v>
      </c>
      <c r="K255">
        <v>656</v>
      </c>
      <c r="L255">
        <v>0</v>
      </c>
      <c r="M255">
        <v>1426</v>
      </c>
      <c r="N255">
        <v>1</v>
      </c>
    </row>
    <row r="256" spans="1:14" x14ac:dyDescent="0.2">
      <c r="A256" t="s">
        <v>46</v>
      </c>
      <c r="B256" t="s">
        <v>463</v>
      </c>
      <c r="C256" t="s">
        <v>228</v>
      </c>
      <c r="D256">
        <v>5</v>
      </c>
      <c r="F256">
        <v>5.6</v>
      </c>
      <c r="G256">
        <v>0.63636363636363602</v>
      </c>
      <c r="H256">
        <v>0</v>
      </c>
      <c r="I256">
        <v>5.4978962131837297E-2</v>
      </c>
      <c r="J256">
        <v>0</v>
      </c>
      <c r="K256">
        <v>784</v>
      </c>
      <c r="L256">
        <v>0</v>
      </c>
      <c r="M256">
        <v>1426</v>
      </c>
      <c r="N256">
        <v>1</v>
      </c>
    </row>
    <row r="257" spans="1:14" x14ac:dyDescent="0.2">
      <c r="A257" t="s">
        <v>46</v>
      </c>
      <c r="B257" t="s">
        <v>463</v>
      </c>
      <c r="C257" t="s">
        <v>228</v>
      </c>
      <c r="D257">
        <v>6</v>
      </c>
      <c r="F257">
        <v>6.7</v>
      </c>
      <c r="G257">
        <v>0.63636363636363602</v>
      </c>
      <c r="H257">
        <v>0</v>
      </c>
      <c r="I257">
        <v>6.3955119214586256E-2</v>
      </c>
      <c r="J257">
        <v>0</v>
      </c>
      <c r="K257">
        <v>912</v>
      </c>
      <c r="L257">
        <v>0</v>
      </c>
      <c r="M257">
        <v>1426</v>
      </c>
      <c r="N257">
        <v>1</v>
      </c>
    </row>
    <row r="258" spans="1:14" x14ac:dyDescent="0.2">
      <c r="A258" t="s">
        <v>46</v>
      </c>
      <c r="B258" t="s">
        <v>463</v>
      </c>
      <c r="C258" t="s">
        <v>228</v>
      </c>
      <c r="D258">
        <v>7</v>
      </c>
      <c r="F258">
        <v>7.8</v>
      </c>
      <c r="G258">
        <v>0.60869565217391297</v>
      </c>
      <c r="H258">
        <v>0</v>
      </c>
      <c r="I258">
        <v>7.3001402524544179E-2</v>
      </c>
      <c r="J258">
        <v>0</v>
      </c>
      <c r="K258">
        <v>1041</v>
      </c>
      <c r="L258">
        <v>0</v>
      </c>
      <c r="M258">
        <v>1426</v>
      </c>
      <c r="N258">
        <v>1</v>
      </c>
    </row>
    <row r="259" spans="1:14" x14ac:dyDescent="0.2">
      <c r="A259" t="s">
        <v>46</v>
      </c>
      <c r="B259" t="s">
        <v>463</v>
      </c>
      <c r="C259" t="s">
        <v>228</v>
      </c>
      <c r="D259">
        <v>8</v>
      </c>
      <c r="F259">
        <v>8.5</v>
      </c>
      <c r="G259">
        <v>0.66666666666666696</v>
      </c>
      <c r="H259">
        <v>0</v>
      </c>
      <c r="I259">
        <v>8.1977559607293124E-2</v>
      </c>
      <c r="J259">
        <v>0</v>
      </c>
      <c r="K259">
        <v>1169</v>
      </c>
      <c r="L259">
        <v>0</v>
      </c>
      <c r="M259">
        <v>1426</v>
      </c>
      <c r="N259">
        <v>1</v>
      </c>
    </row>
    <row r="260" spans="1:14" x14ac:dyDescent="0.2">
      <c r="A260" t="s">
        <v>46</v>
      </c>
      <c r="B260" t="s">
        <v>463</v>
      </c>
      <c r="C260" t="s">
        <v>228</v>
      </c>
      <c r="D260">
        <v>9</v>
      </c>
      <c r="F260">
        <v>9.1</v>
      </c>
      <c r="G260">
        <v>0.66666666666666696</v>
      </c>
      <c r="H260">
        <v>0</v>
      </c>
      <c r="I260">
        <v>9.0953716690042069E-2</v>
      </c>
      <c r="J260">
        <v>0</v>
      </c>
      <c r="K260">
        <v>1297</v>
      </c>
      <c r="L260">
        <v>0</v>
      </c>
      <c r="M260">
        <v>1426</v>
      </c>
      <c r="N260">
        <v>1</v>
      </c>
    </row>
    <row r="261" spans="1:14" x14ac:dyDescent="0.2">
      <c r="A261" t="s">
        <v>46</v>
      </c>
      <c r="B261" t="s">
        <v>464</v>
      </c>
      <c r="C261" t="s">
        <v>465</v>
      </c>
      <c r="D261">
        <v>10</v>
      </c>
      <c r="G261">
        <v>0.1138</v>
      </c>
      <c r="H261">
        <v>0</v>
      </c>
      <c r="I261">
        <v>0.1</v>
      </c>
      <c r="J261">
        <v>0</v>
      </c>
      <c r="K261">
        <v>1426</v>
      </c>
      <c r="L261">
        <v>0</v>
      </c>
      <c r="M261">
        <v>1426</v>
      </c>
      <c r="N261">
        <v>1</v>
      </c>
    </row>
    <row r="262" spans="1:14" x14ac:dyDescent="0.2">
      <c r="A262" t="s">
        <v>47</v>
      </c>
      <c r="B262" t="s">
        <v>462</v>
      </c>
      <c r="C262" t="s">
        <v>175</v>
      </c>
      <c r="D262">
        <v>1</v>
      </c>
      <c r="G262">
        <v>0</v>
      </c>
      <c r="H262">
        <v>0</v>
      </c>
      <c r="I262">
        <v>0.1</v>
      </c>
      <c r="J262">
        <v>0</v>
      </c>
      <c r="K262">
        <v>27</v>
      </c>
      <c r="L262">
        <v>0</v>
      </c>
      <c r="M262">
        <v>270</v>
      </c>
      <c r="N262">
        <v>1</v>
      </c>
    </row>
    <row r="263" spans="1:14" x14ac:dyDescent="0.2">
      <c r="A263" t="s">
        <v>47</v>
      </c>
      <c r="B263" t="s">
        <v>462</v>
      </c>
      <c r="C263" t="s">
        <v>175</v>
      </c>
      <c r="D263">
        <v>2</v>
      </c>
      <c r="G263">
        <v>0</v>
      </c>
      <c r="H263">
        <v>0</v>
      </c>
      <c r="I263">
        <v>0.2</v>
      </c>
      <c r="J263">
        <v>0</v>
      </c>
      <c r="K263">
        <v>54</v>
      </c>
      <c r="L263">
        <v>0</v>
      </c>
      <c r="M263">
        <v>270</v>
      </c>
      <c r="N263">
        <v>1</v>
      </c>
    </row>
    <row r="264" spans="1:14" x14ac:dyDescent="0.2">
      <c r="A264" t="s">
        <v>47</v>
      </c>
      <c r="B264" t="s">
        <v>462</v>
      </c>
      <c r="C264" t="s">
        <v>175</v>
      </c>
      <c r="D264">
        <v>3</v>
      </c>
      <c r="G264">
        <v>0.7</v>
      </c>
      <c r="H264">
        <v>0</v>
      </c>
      <c r="I264">
        <v>0.3</v>
      </c>
      <c r="J264">
        <v>0</v>
      </c>
      <c r="K264">
        <v>81</v>
      </c>
      <c r="L264">
        <v>0</v>
      </c>
      <c r="M264">
        <v>270</v>
      </c>
      <c r="N264">
        <v>1</v>
      </c>
    </row>
    <row r="265" spans="1:14" x14ac:dyDescent="0.2">
      <c r="A265" t="s">
        <v>47</v>
      </c>
      <c r="B265" t="s">
        <v>462</v>
      </c>
      <c r="C265" t="s">
        <v>175</v>
      </c>
      <c r="D265">
        <v>4</v>
      </c>
      <c r="G265">
        <v>0.7</v>
      </c>
      <c r="H265">
        <v>0</v>
      </c>
      <c r="I265">
        <v>0.4</v>
      </c>
      <c r="J265">
        <v>0</v>
      </c>
      <c r="K265">
        <v>108</v>
      </c>
      <c r="L265">
        <v>0</v>
      </c>
      <c r="M265">
        <v>270</v>
      </c>
      <c r="N265">
        <v>1</v>
      </c>
    </row>
    <row r="266" spans="1:14" x14ac:dyDescent="0.2">
      <c r="A266" t="s">
        <v>47</v>
      </c>
      <c r="B266" t="s">
        <v>462</v>
      </c>
      <c r="C266" t="s">
        <v>175</v>
      </c>
      <c r="D266">
        <v>5</v>
      </c>
      <c r="G266">
        <v>0.7</v>
      </c>
      <c r="H266">
        <v>0</v>
      </c>
      <c r="I266">
        <v>0.5</v>
      </c>
      <c r="J266">
        <v>0</v>
      </c>
      <c r="K266">
        <v>135</v>
      </c>
      <c r="L266">
        <v>0</v>
      </c>
      <c r="M266">
        <v>270</v>
      </c>
      <c r="N266">
        <v>1</v>
      </c>
    </row>
    <row r="267" spans="1:14" x14ac:dyDescent="0.2">
      <c r="A267" t="s">
        <v>47</v>
      </c>
      <c r="B267" t="s">
        <v>462</v>
      </c>
      <c r="C267" t="s">
        <v>175</v>
      </c>
      <c r="D267">
        <v>6</v>
      </c>
      <c r="G267">
        <v>0.8</v>
      </c>
      <c r="H267">
        <v>0</v>
      </c>
      <c r="I267">
        <v>0.6</v>
      </c>
      <c r="J267">
        <v>0</v>
      </c>
      <c r="K267">
        <v>162</v>
      </c>
      <c r="L267">
        <v>0</v>
      </c>
      <c r="M267">
        <v>270</v>
      </c>
      <c r="N267">
        <v>1</v>
      </c>
    </row>
    <row r="268" spans="1:14" x14ac:dyDescent="0.2">
      <c r="A268" t="s">
        <v>47</v>
      </c>
      <c r="B268" t="s">
        <v>462</v>
      </c>
      <c r="C268" t="s">
        <v>175</v>
      </c>
      <c r="D268">
        <v>7</v>
      </c>
      <c r="G268">
        <v>0.8</v>
      </c>
      <c r="H268">
        <v>0</v>
      </c>
      <c r="I268">
        <v>0.7</v>
      </c>
      <c r="J268">
        <v>0</v>
      </c>
      <c r="K268">
        <v>189</v>
      </c>
      <c r="L268">
        <v>0</v>
      </c>
      <c r="M268">
        <v>270</v>
      </c>
      <c r="N268">
        <v>1</v>
      </c>
    </row>
    <row r="269" spans="1:14" x14ac:dyDescent="0.2">
      <c r="A269" t="s">
        <v>47</v>
      </c>
      <c r="B269" t="s">
        <v>462</v>
      </c>
      <c r="C269" t="s">
        <v>175</v>
      </c>
      <c r="D269">
        <v>8</v>
      </c>
      <c r="G269">
        <v>1</v>
      </c>
      <c r="H269">
        <v>0</v>
      </c>
      <c r="I269">
        <v>0.8</v>
      </c>
      <c r="J269">
        <v>0</v>
      </c>
      <c r="K269">
        <v>216</v>
      </c>
      <c r="L269">
        <v>0</v>
      </c>
      <c r="M269">
        <v>270</v>
      </c>
      <c r="N269">
        <v>1</v>
      </c>
    </row>
    <row r="270" spans="1:14" x14ac:dyDescent="0.2">
      <c r="A270" t="s">
        <v>47</v>
      </c>
      <c r="B270" t="s">
        <v>462</v>
      </c>
      <c r="C270" t="s">
        <v>175</v>
      </c>
      <c r="D270">
        <v>9</v>
      </c>
      <c r="G270">
        <v>1</v>
      </c>
      <c r="H270">
        <v>0</v>
      </c>
      <c r="I270">
        <v>0.9</v>
      </c>
      <c r="J270">
        <v>0</v>
      </c>
      <c r="K270">
        <v>243</v>
      </c>
      <c r="L270">
        <v>0</v>
      </c>
      <c r="M270">
        <v>270</v>
      </c>
      <c r="N270">
        <v>1</v>
      </c>
    </row>
    <row r="271" spans="1:14" x14ac:dyDescent="0.2">
      <c r="A271" t="s">
        <v>47</v>
      </c>
      <c r="B271" t="s">
        <v>462</v>
      </c>
      <c r="C271" t="s">
        <v>175</v>
      </c>
      <c r="D271">
        <v>10</v>
      </c>
      <c r="G271">
        <v>1</v>
      </c>
      <c r="H271">
        <v>0</v>
      </c>
      <c r="I271">
        <v>0.9</v>
      </c>
      <c r="J271">
        <v>0</v>
      </c>
      <c r="K271">
        <v>243</v>
      </c>
      <c r="L271">
        <v>0</v>
      </c>
      <c r="M271">
        <v>270</v>
      </c>
      <c r="N271">
        <v>1</v>
      </c>
    </row>
    <row r="272" spans="1:14" x14ac:dyDescent="0.2">
      <c r="A272" t="s">
        <v>47</v>
      </c>
      <c r="B272" t="s">
        <v>463</v>
      </c>
      <c r="C272" t="s">
        <v>228</v>
      </c>
      <c r="D272">
        <v>1</v>
      </c>
      <c r="F272">
        <v>1</v>
      </c>
      <c r="G272">
        <v>0</v>
      </c>
      <c r="H272">
        <v>0</v>
      </c>
      <c r="I272">
        <v>0.1888888888888888</v>
      </c>
      <c r="J272">
        <v>0</v>
      </c>
      <c r="K272">
        <v>51</v>
      </c>
      <c r="L272">
        <v>0</v>
      </c>
      <c r="M272">
        <v>270</v>
      </c>
      <c r="N272">
        <v>1</v>
      </c>
    </row>
    <row r="273" spans="1:14" x14ac:dyDescent="0.2">
      <c r="A273" t="s">
        <v>47</v>
      </c>
      <c r="B273" t="s">
        <v>463</v>
      </c>
      <c r="C273" t="s">
        <v>228</v>
      </c>
      <c r="D273">
        <v>2</v>
      </c>
      <c r="F273">
        <v>2</v>
      </c>
      <c r="G273">
        <v>0</v>
      </c>
      <c r="H273">
        <v>0</v>
      </c>
      <c r="I273">
        <v>0.2</v>
      </c>
      <c r="J273">
        <v>0</v>
      </c>
      <c r="K273">
        <v>54</v>
      </c>
      <c r="L273">
        <v>0</v>
      </c>
      <c r="M273">
        <v>270</v>
      </c>
      <c r="N273">
        <v>1</v>
      </c>
    </row>
    <row r="274" spans="1:14" x14ac:dyDescent="0.2">
      <c r="A274" t="s">
        <v>47</v>
      </c>
      <c r="B274" t="s">
        <v>463</v>
      </c>
      <c r="C274" t="s">
        <v>228</v>
      </c>
      <c r="D274">
        <v>3</v>
      </c>
      <c r="F274">
        <v>3</v>
      </c>
      <c r="G274">
        <v>0.7</v>
      </c>
      <c r="H274">
        <v>0</v>
      </c>
      <c r="I274">
        <v>0.37037037037037029</v>
      </c>
      <c r="J274">
        <v>0</v>
      </c>
      <c r="K274">
        <v>100</v>
      </c>
      <c r="L274">
        <v>0</v>
      </c>
      <c r="M274">
        <v>270</v>
      </c>
      <c r="N274">
        <v>1</v>
      </c>
    </row>
    <row r="275" spans="1:14" x14ac:dyDescent="0.2">
      <c r="A275" t="s">
        <v>47</v>
      </c>
      <c r="B275" t="s">
        <v>463</v>
      </c>
      <c r="C275" t="s">
        <v>228</v>
      </c>
      <c r="D275">
        <v>4</v>
      </c>
      <c r="F275">
        <v>4</v>
      </c>
      <c r="G275">
        <v>0.7</v>
      </c>
      <c r="H275">
        <v>0</v>
      </c>
      <c r="I275">
        <v>0.4592592592592592</v>
      </c>
      <c r="J275">
        <v>0</v>
      </c>
      <c r="K275">
        <v>124</v>
      </c>
      <c r="L275">
        <v>0</v>
      </c>
      <c r="M275">
        <v>270</v>
      </c>
      <c r="N275">
        <v>1</v>
      </c>
    </row>
    <row r="276" spans="1:14" x14ac:dyDescent="0.2">
      <c r="A276" t="s">
        <v>47</v>
      </c>
      <c r="B276" t="s">
        <v>463</v>
      </c>
      <c r="C276" t="s">
        <v>228</v>
      </c>
      <c r="D276">
        <v>5</v>
      </c>
      <c r="F276">
        <v>5</v>
      </c>
      <c r="G276">
        <v>0.7</v>
      </c>
      <c r="H276">
        <v>0</v>
      </c>
      <c r="I276">
        <v>0.55185185185185182</v>
      </c>
      <c r="J276">
        <v>0</v>
      </c>
      <c r="K276">
        <v>149</v>
      </c>
      <c r="L276">
        <v>0</v>
      </c>
      <c r="M276">
        <v>270</v>
      </c>
      <c r="N276">
        <v>1</v>
      </c>
    </row>
    <row r="277" spans="1:14" x14ac:dyDescent="0.2">
      <c r="A277" t="s">
        <v>47</v>
      </c>
      <c r="B277" t="s">
        <v>463</v>
      </c>
      <c r="C277" t="s">
        <v>228</v>
      </c>
      <c r="D277">
        <v>6</v>
      </c>
      <c r="F277">
        <v>6</v>
      </c>
      <c r="G277">
        <v>0.8</v>
      </c>
      <c r="H277">
        <v>0</v>
      </c>
      <c r="I277">
        <v>0.64074074074074072</v>
      </c>
      <c r="J277">
        <v>0</v>
      </c>
      <c r="K277">
        <v>173</v>
      </c>
      <c r="L277">
        <v>0</v>
      </c>
      <c r="M277">
        <v>270</v>
      </c>
      <c r="N277">
        <v>1</v>
      </c>
    </row>
    <row r="278" spans="1:14" x14ac:dyDescent="0.2">
      <c r="A278" t="s">
        <v>47</v>
      </c>
      <c r="B278" t="s">
        <v>463</v>
      </c>
      <c r="C278" t="s">
        <v>228</v>
      </c>
      <c r="D278">
        <v>7</v>
      </c>
      <c r="F278">
        <v>7</v>
      </c>
      <c r="G278">
        <v>0.8</v>
      </c>
      <c r="H278">
        <v>0</v>
      </c>
      <c r="I278">
        <v>0.72962962962962963</v>
      </c>
      <c r="J278">
        <v>0</v>
      </c>
      <c r="K278">
        <v>197</v>
      </c>
      <c r="L278">
        <v>0</v>
      </c>
      <c r="M278">
        <v>270</v>
      </c>
      <c r="N278">
        <v>1</v>
      </c>
    </row>
    <row r="279" spans="1:14" x14ac:dyDescent="0.2">
      <c r="A279" t="s">
        <v>47</v>
      </c>
      <c r="B279" t="s">
        <v>463</v>
      </c>
      <c r="C279" t="s">
        <v>228</v>
      </c>
      <c r="D279">
        <v>8</v>
      </c>
      <c r="F279">
        <v>8</v>
      </c>
      <c r="G279">
        <v>1</v>
      </c>
      <c r="H279">
        <v>0</v>
      </c>
      <c r="I279">
        <v>0.81851851851851853</v>
      </c>
      <c r="J279">
        <v>0</v>
      </c>
      <c r="K279">
        <v>221</v>
      </c>
      <c r="L279">
        <v>0</v>
      </c>
      <c r="M279">
        <v>270</v>
      </c>
      <c r="N279">
        <v>1</v>
      </c>
    </row>
    <row r="280" spans="1:14" x14ac:dyDescent="0.2">
      <c r="A280" t="s">
        <v>47</v>
      </c>
      <c r="B280" t="s">
        <v>463</v>
      </c>
      <c r="C280" t="s">
        <v>228</v>
      </c>
      <c r="D280">
        <v>9</v>
      </c>
      <c r="F280">
        <v>9</v>
      </c>
      <c r="G280">
        <v>1</v>
      </c>
      <c r="H280">
        <v>0</v>
      </c>
      <c r="I280">
        <v>0.9111111111111112</v>
      </c>
      <c r="J280">
        <v>0</v>
      </c>
      <c r="K280">
        <v>246</v>
      </c>
      <c r="L280">
        <v>0</v>
      </c>
      <c r="M280">
        <v>270</v>
      </c>
      <c r="N280">
        <v>1</v>
      </c>
    </row>
    <row r="281" spans="1:14" x14ac:dyDescent="0.2">
      <c r="A281" t="s">
        <v>47</v>
      </c>
      <c r="B281" t="s">
        <v>464</v>
      </c>
      <c r="C281" t="s">
        <v>465</v>
      </c>
      <c r="D281">
        <v>10</v>
      </c>
      <c r="G281">
        <v>1</v>
      </c>
      <c r="H281">
        <v>0</v>
      </c>
      <c r="I281">
        <v>1</v>
      </c>
      <c r="J281">
        <v>0</v>
      </c>
      <c r="K281">
        <v>270</v>
      </c>
      <c r="L281">
        <v>0</v>
      </c>
      <c r="M281">
        <v>270</v>
      </c>
      <c r="N281">
        <v>1</v>
      </c>
    </row>
    <row r="282" spans="1:14" x14ac:dyDescent="0.2">
      <c r="A282" t="s">
        <v>48</v>
      </c>
      <c r="B282" t="s">
        <v>462</v>
      </c>
      <c r="C282" t="s">
        <v>175</v>
      </c>
      <c r="D282">
        <v>1</v>
      </c>
      <c r="G282">
        <v>0.63636363636363602</v>
      </c>
      <c r="H282">
        <v>0</v>
      </c>
      <c r="I282">
        <v>9.9929627023223003E-3</v>
      </c>
      <c r="J282">
        <v>0</v>
      </c>
      <c r="K282">
        <v>142</v>
      </c>
      <c r="L282">
        <v>0</v>
      </c>
      <c r="M282">
        <v>1421</v>
      </c>
      <c r="N282">
        <v>1</v>
      </c>
    </row>
    <row r="283" spans="1:14" x14ac:dyDescent="0.2">
      <c r="A283" t="s">
        <v>48</v>
      </c>
      <c r="B283" t="s">
        <v>462</v>
      </c>
      <c r="C283" t="s">
        <v>175</v>
      </c>
      <c r="D283">
        <v>2</v>
      </c>
      <c r="G283">
        <v>0.63636363636363602</v>
      </c>
      <c r="H283">
        <v>0</v>
      </c>
      <c r="I283">
        <v>1.9985925404644611E-2</v>
      </c>
      <c r="J283">
        <v>0</v>
      </c>
      <c r="K283">
        <v>284</v>
      </c>
      <c r="L283">
        <v>0</v>
      </c>
      <c r="M283">
        <v>1421</v>
      </c>
      <c r="N283">
        <v>1</v>
      </c>
    </row>
    <row r="284" spans="1:14" x14ac:dyDescent="0.2">
      <c r="A284" t="s">
        <v>48</v>
      </c>
      <c r="B284" t="s">
        <v>462</v>
      </c>
      <c r="C284" t="s">
        <v>175</v>
      </c>
      <c r="D284">
        <v>3</v>
      </c>
      <c r="G284">
        <v>0.63636363636363602</v>
      </c>
      <c r="H284">
        <v>0</v>
      </c>
      <c r="I284">
        <v>2.997888810696692E-2</v>
      </c>
      <c r="J284">
        <v>0</v>
      </c>
      <c r="K284">
        <v>426</v>
      </c>
      <c r="L284">
        <v>0</v>
      </c>
      <c r="M284">
        <v>1421</v>
      </c>
      <c r="N284">
        <v>1</v>
      </c>
    </row>
    <row r="285" spans="1:14" x14ac:dyDescent="0.2">
      <c r="A285" t="s">
        <v>48</v>
      </c>
      <c r="B285" t="s">
        <v>462</v>
      </c>
      <c r="C285" t="s">
        <v>175</v>
      </c>
      <c r="D285">
        <v>4</v>
      </c>
      <c r="G285">
        <v>0.63636363636363602</v>
      </c>
      <c r="H285">
        <v>0</v>
      </c>
      <c r="I285">
        <v>3.9971850809289229E-2</v>
      </c>
      <c r="J285">
        <v>0</v>
      </c>
      <c r="K285">
        <v>568</v>
      </c>
      <c r="L285">
        <v>0</v>
      </c>
      <c r="M285">
        <v>1421</v>
      </c>
      <c r="N285">
        <v>1</v>
      </c>
    </row>
    <row r="286" spans="1:14" x14ac:dyDescent="0.2">
      <c r="A286" t="s">
        <v>48</v>
      </c>
      <c r="B286" t="s">
        <v>462</v>
      </c>
      <c r="C286" t="s">
        <v>175</v>
      </c>
      <c r="D286">
        <v>5</v>
      </c>
      <c r="G286">
        <v>0.63636363636363602</v>
      </c>
      <c r="H286">
        <v>0</v>
      </c>
      <c r="I286">
        <v>4.9964813511611542E-2</v>
      </c>
      <c r="J286">
        <v>0</v>
      </c>
      <c r="K286">
        <v>710</v>
      </c>
      <c r="L286">
        <v>0</v>
      </c>
      <c r="M286">
        <v>1421</v>
      </c>
      <c r="N286">
        <v>1</v>
      </c>
    </row>
    <row r="287" spans="1:14" x14ac:dyDescent="0.2">
      <c r="A287" t="s">
        <v>48</v>
      </c>
      <c r="B287" t="s">
        <v>462</v>
      </c>
      <c r="C287" t="s">
        <v>175</v>
      </c>
      <c r="D287">
        <v>6</v>
      </c>
      <c r="G287">
        <v>0.66666666666666696</v>
      </c>
      <c r="H287">
        <v>0</v>
      </c>
      <c r="I287">
        <v>5.9957776213933847E-2</v>
      </c>
      <c r="J287">
        <v>0</v>
      </c>
      <c r="K287">
        <v>852</v>
      </c>
      <c r="L287">
        <v>0</v>
      </c>
      <c r="M287">
        <v>1421</v>
      </c>
      <c r="N287">
        <v>1</v>
      </c>
    </row>
    <row r="288" spans="1:14" x14ac:dyDescent="0.2">
      <c r="A288" t="s">
        <v>48</v>
      </c>
      <c r="B288" t="s">
        <v>462</v>
      </c>
      <c r="C288" t="s">
        <v>175</v>
      </c>
      <c r="D288">
        <v>7</v>
      </c>
      <c r="G288">
        <v>0.66666666666666696</v>
      </c>
      <c r="H288">
        <v>0</v>
      </c>
      <c r="I288">
        <v>6.9950738916256167E-2</v>
      </c>
      <c r="J288">
        <v>0</v>
      </c>
      <c r="K288">
        <v>994</v>
      </c>
      <c r="L288">
        <v>0</v>
      </c>
      <c r="M288">
        <v>1421</v>
      </c>
      <c r="N288">
        <v>1</v>
      </c>
    </row>
    <row r="289" spans="1:14" x14ac:dyDescent="0.2">
      <c r="A289" t="s">
        <v>48</v>
      </c>
      <c r="B289" t="s">
        <v>462</v>
      </c>
      <c r="C289" t="s">
        <v>175</v>
      </c>
      <c r="D289">
        <v>8</v>
      </c>
      <c r="G289">
        <v>0.66666666666666696</v>
      </c>
      <c r="H289">
        <v>0</v>
      </c>
      <c r="I289">
        <v>7.9943701618578472E-2</v>
      </c>
      <c r="J289">
        <v>0</v>
      </c>
      <c r="K289">
        <v>1136</v>
      </c>
      <c r="L289">
        <v>0</v>
      </c>
      <c r="M289">
        <v>1421</v>
      </c>
      <c r="N289">
        <v>1</v>
      </c>
    </row>
    <row r="290" spans="1:14" x14ac:dyDescent="0.2">
      <c r="A290" t="s">
        <v>48</v>
      </c>
      <c r="B290" t="s">
        <v>462</v>
      </c>
      <c r="C290" t="s">
        <v>175</v>
      </c>
      <c r="D290">
        <v>9</v>
      </c>
      <c r="G290">
        <v>0.66666666666666696</v>
      </c>
      <c r="H290">
        <v>0</v>
      </c>
      <c r="I290">
        <v>8.9936664320900778E-2</v>
      </c>
      <c r="J290">
        <v>0</v>
      </c>
      <c r="K290">
        <v>1278</v>
      </c>
      <c r="L290">
        <v>0</v>
      </c>
      <c r="M290">
        <v>1421</v>
      </c>
      <c r="N290">
        <v>1</v>
      </c>
    </row>
    <row r="291" spans="1:14" x14ac:dyDescent="0.2">
      <c r="A291" t="s">
        <v>48</v>
      </c>
      <c r="B291" t="s">
        <v>462</v>
      </c>
      <c r="C291" t="s">
        <v>175</v>
      </c>
      <c r="D291">
        <v>10</v>
      </c>
      <c r="G291">
        <v>0.66666666666666696</v>
      </c>
      <c r="H291">
        <v>0</v>
      </c>
      <c r="I291">
        <v>8.9936664320900778E-2</v>
      </c>
      <c r="J291">
        <v>0</v>
      </c>
      <c r="K291">
        <v>1278</v>
      </c>
      <c r="L291">
        <v>0</v>
      </c>
      <c r="M291">
        <v>1421</v>
      </c>
      <c r="N291">
        <v>1</v>
      </c>
    </row>
    <row r="292" spans="1:14" x14ac:dyDescent="0.2">
      <c r="A292" t="s">
        <v>48</v>
      </c>
      <c r="B292" t="s">
        <v>463</v>
      </c>
      <c r="C292" t="s">
        <v>228</v>
      </c>
      <c r="D292">
        <v>1</v>
      </c>
      <c r="F292">
        <v>3.8</v>
      </c>
      <c r="G292">
        <v>0.66666666666666696</v>
      </c>
      <c r="H292">
        <v>0</v>
      </c>
      <c r="I292">
        <v>1.9000703729767771E-2</v>
      </c>
      <c r="J292">
        <v>0</v>
      </c>
      <c r="K292">
        <v>270</v>
      </c>
      <c r="L292">
        <v>0</v>
      </c>
      <c r="M292">
        <v>1421</v>
      </c>
      <c r="N292">
        <v>1</v>
      </c>
    </row>
    <row r="293" spans="1:14" x14ac:dyDescent="0.2">
      <c r="A293" t="s">
        <v>48</v>
      </c>
      <c r="B293" t="s">
        <v>463</v>
      </c>
      <c r="C293" t="s">
        <v>228</v>
      </c>
      <c r="D293">
        <v>2</v>
      </c>
      <c r="F293">
        <v>4.9000000000000004</v>
      </c>
      <c r="G293">
        <v>0.73</v>
      </c>
      <c r="H293">
        <v>0</v>
      </c>
      <c r="I293">
        <v>2.800844475721323E-2</v>
      </c>
      <c r="J293">
        <v>0</v>
      </c>
      <c r="K293">
        <v>398</v>
      </c>
      <c r="L293">
        <v>0</v>
      </c>
      <c r="M293">
        <v>1421</v>
      </c>
      <c r="N293">
        <v>1</v>
      </c>
    </row>
    <row r="294" spans="1:14" x14ac:dyDescent="0.2">
      <c r="A294" t="s">
        <v>48</v>
      </c>
      <c r="B294" t="s">
        <v>463</v>
      </c>
      <c r="C294" t="s">
        <v>228</v>
      </c>
      <c r="D294">
        <v>3</v>
      </c>
      <c r="F294">
        <f t="shared" ref="F294:F300" si="1">D294+2.5</f>
        <v>5.5</v>
      </c>
      <c r="G294">
        <v>0.73</v>
      </c>
      <c r="H294">
        <v>0</v>
      </c>
      <c r="I294">
        <v>3.7016185784658692E-2</v>
      </c>
      <c r="J294">
        <v>0</v>
      </c>
      <c r="K294">
        <v>526</v>
      </c>
      <c r="L294">
        <v>0</v>
      </c>
      <c r="M294">
        <v>1421</v>
      </c>
      <c r="N294">
        <v>1</v>
      </c>
    </row>
    <row r="295" spans="1:14" x14ac:dyDescent="0.2">
      <c r="A295" t="s">
        <v>48</v>
      </c>
      <c r="B295" t="s">
        <v>463</v>
      </c>
      <c r="C295" t="s">
        <v>228</v>
      </c>
      <c r="D295">
        <v>4</v>
      </c>
      <c r="F295">
        <f t="shared" si="1"/>
        <v>6.5</v>
      </c>
      <c r="G295">
        <v>0.73</v>
      </c>
      <c r="H295">
        <v>0</v>
      </c>
      <c r="I295">
        <v>4.5953553835327232E-2</v>
      </c>
      <c r="J295">
        <v>0</v>
      </c>
      <c r="K295">
        <v>653</v>
      </c>
      <c r="L295">
        <v>0</v>
      </c>
      <c r="M295">
        <v>1421</v>
      </c>
      <c r="N295">
        <v>1</v>
      </c>
    </row>
    <row r="296" spans="1:14" x14ac:dyDescent="0.2">
      <c r="A296" t="s">
        <v>48</v>
      </c>
      <c r="B296" t="s">
        <v>463</v>
      </c>
      <c r="C296" t="s">
        <v>228</v>
      </c>
      <c r="D296">
        <v>5</v>
      </c>
      <c r="F296">
        <f t="shared" si="1"/>
        <v>7.5</v>
      </c>
      <c r="G296">
        <v>0.73</v>
      </c>
      <c r="H296">
        <v>0</v>
      </c>
      <c r="I296">
        <v>5.4961294862772687E-2</v>
      </c>
      <c r="J296">
        <v>0</v>
      </c>
      <c r="K296">
        <v>781</v>
      </c>
      <c r="L296">
        <v>0</v>
      </c>
      <c r="M296">
        <v>1421</v>
      </c>
      <c r="N296">
        <v>1</v>
      </c>
    </row>
    <row r="297" spans="1:14" x14ac:dyDescent="0.2">
      <c r="A297" t="s">
        <v>48</v>
      </c>
      <c r="B297" t="s">
        <v>463</v>
      </c>
      <c r="C297" t="s">
        <v>228</v>
      </c>
      <c r="D297">
        <v>6</v>
      </c>
      <c r="F297">
        <f t="shared" si="1"/>
        <v>8.5</v>
      </c>
      <c r="G297">
        <v>0.73</v>
      </c>
      <c r="H297">
        <v>0</v>
      </c>
      <c r="I297">
        <v>6.3969035890218157E-2</v>
      </c>
      <c r="J297">
        <v>0</v>
      </c>
      <c r="K297">
        <v>909</v>
      </c>
      <c r="L297">
        <v>0</v>
      </c>
      <c r="M297">
        <v>1421</v>
      </c>
      <c r="N297">
        <v>1</v>
      </c>
    </row>
    <row r="298" spans="1:14" x14ac:dyDescent="0.2">
      <c r="A298" t="s">
        <v>48</v>
      </c>
      <c r="B298" t="s">
        <v>463</v>
      </c>
      <c r="C298" t="s">
        <v>228</v>
      </c>
      <c r="D298">
        <v>7</v>
      </c>
      <c r="F298">
        <f t="shared" si="1"/>
        <v>9.5</v>
      </c>
      <c r="G298">
        <v>0.73</v>
      </c>
      <c r="H298">
        <v>0</v>
      </c>
      <c r="I298">
        <v>7.2976776917663619E-2</v>
      </c>
      <c r="J298">
        <v>0</v>
      </c>
      <c r="K298">
        <v>1037</v>
      </c>
      <c r="L298">
        <v>0</v>
      </c>
      <c r="M298">
        <v>1421</v>
      </c>
      <c r="N298">
        <v>1</v>
      </c>
    </row>
    <row r="299" spans="1:14" x14ac:dyDescent="0.2">
      <c r="A299" t="s">
        <v>48</v>
      </c>
      <c r="B299" t="s">
        <v>463</v>
      </c>
      <c r="C299" t="s">
        <v>228</v>
      </c>
      <c r="D299">
        <v>8</v>
      </c>
      <c r="F299">
        <f t="shared" si="1"/>
        <v>10.5</v>
      </c>
      <c r="G299">
        <v>0.73</v>
      </c>
      <c r="H299">
        <v>0</v>
      </c>
      <c r="I299">
        <v>8.1914144968332159E-2</v>
      </c>
      <c r="J299">
        <v>0</v>
      </c>
      <c r="K299">
        <v>1164</v>
      </c>
      <c r="L299">
        <v>0</v>
      </c>
      <c r="M299">
        <v>1421</v>
      </c>
      <c r="N299">
        <v>1</v>
      </c>
    </row>
    <row r="300" spans="1:14" x14ac:dyDescent="0.2">
      <c r="A300" t="s">
        <v>48</v>
      </c>
      <c r="B300" t="s">
        <v>463</v>
      </c>
      <c r="C300" t="s">
        <v>228</v>
      </c>
      <c r="D300">
        <v>9</v>
      </c>
      <c r="F300">
        <f t="shared" si="1"/>
        <v>11.5</v>
      </c>
      <c r="G300">
        <v>0.73</v>
      </c>
      <c r="H300">
        <v>0</v>
      </c>
      <c r="I300">
        <v>9.0921885995777621E-2</v>
      </c>
      <c r="J300">
        <v>0</v>
      </c>
      <c r="K300">
        <v>1292</v>
      </c>
      <c r="L300">
        <v>0</v>
      </c>
      <c r="M300">
        <v>1421</v>
      </c>
      <c r="N300">
        <v>1</v>
      </c>
    </row>
    <row r="301" spans="1:14" x14ac:dyDescent="0.2">
      <c r="A301" t="s">
        <v>48</v>
      </c>
      <c r="B301" t="s">
        <v>464</v>
      </c>
      <c r="C301" t="s">
        <v>465</v>
      </c>
      <c r="D301">
        <v>10</v>
      </c>
      <c r="G301">
        <v>0.66669999999999996</v>
      </c>
      <c r="H301">
        <v>0</v>
      </c>
      <c r="I301">
        <v>0.1</v>
      </c>
      <c r="J301">
        <v>0</v>
      </c>
      <c r="K301">
        <v>1421</v>
      </c>
      <c r="L301">
        <v>0</v>
      </c>
      <c r="M301">
        <v>1421</v>
      </c>
      <c r="N301">
        <v>1</v>
      </c>
    </row>
    <row r="302" spans="1:14" x14ac:dyDescent="0.2">
      <c r="A302" t="s">
        <v>44</v>
      </c>
      <c r="B302" t="s">
        <v>462</v>
      </c>
      <c r="C302" t="s">
        <v>175</v>
      </c>
      <c r="D302">
        <v>1</v>
      </c>
      <c r="G302" s="9">
        <v>0.21457403866581701</v>
      </c>
      <c r="H302" s="9"/>
    </row>
    <row r="303" spans="1:14" x14ac:dyDescent="0.2">
      <c r="A303" t="s">
        <v>44</v>
      </c>
      <c r="B303" t="s">
        <v>462</v>
      </c>
      <c r="C303" t="s">
        <v>175</v>
      </c>
      <c r="D303">
        <v>2</v>
      </c>
      <c r="G303" s="9">
        <v>0.25345622119815697</v>
      </c>
      <c r="H303" s="9"/>
    </row>
    <row r="304" spans="1:14" x14ac:dyDescent="0.2">
      <c r="A304" t="s">
        <v>44</v>
      </c>
      <c r="B304" t="s">
        <v>462</v>
      </c>
      <c r="C304" t="s">
        <v>175</v>
      </c>
      <c r="D304">
        <v>3</v>
      </c>
      <c r="G304" s="9">
        <v>0.26108682073703898</v>
      </c>
      <c r="H304" s="9"/>
    </row>
    <row r="305" spans="1:8" x14ac:dyDescent="0.2">
      <c r="A305" t="s">
        <v>44</v>
      </c>
      <c r="B305" t="s">
        <v>462</v>
      </c>
      <c r="C305" t="s">
        <v>175</v>
      </c>
      <c r="D305">
        <v>4</v>
      </c>
      <c r="G305" s="9">
        <v>0.27110187110187101</v>
      </c>
      <c r="H305" s="9"/>
    </row>
    <row r="306" spans="1:8" x14ac:dyDescent="0.2">
      <c r="A306" t="s">
        <v>44</v>
      </c>
      <c r="B306" t="s">
        <v>462</v>
      </c>
      <c r="C306" t="s">
        <v>175</v>
      </c>
      <c r="D306">
        <v>5</v>
      </c>
      <c r="G306" s="9">
        <v>0.28009929664873801</v>
      </c>
      <c r="H306" s="9"/>
    </row>
    <row r="307" spans="1:8" x14ac:dyDescent="0.2">
      <c r="A307" t="s">
        <v>44</v>
      </c>
      <c r="B307" t="s">
        <v>462</v>
      </c>
      <c r="C307" t="s">
        <v>175</v>
      </c>
      <c r="D307">
        <v>6</v>
      </c>
      <c r="G307" s="9">
        <v>0.286467843375938</v>
      </c>
      <c r="H307" s="9"/>
    </row>
    <row r="308" spans="1:8" x14ac:dyDescent="0.2">
      <c r="A308" t="s">
        <v>44</v>
      </c>
      <c r="B308" t="s">
        <v>462</v>
      </c>
      <c r="C308" t="s">
        <v>175</v>
      </c>
      <c r="D308">
        <v>7</v>
      </c>
      <c r="G308" s="9">
        <v>0.28952689041649798</v>
      </c>
      <c r="H308" s="9"/>
    </row>
    <row r="309" spans="1:8" x14ac:dyDescent="0.2">
      <c r="A309" t="s">
        <v>44</v>
      </c>
      <c r="B309" t="s">
        <v>462</v>
      </c>
      <c r="C309" t="s">
        <v>175</v>
      </c>
      <c r="D309">
        <v>8</v>
      </c>
      <c r="G309" s="9">
        <v>0.294598365557106</v>
      </c>
      <c r="H309" s="9"/>
    </row>
    <row r="310" spans="1:8" x14ac:dyDescent="0.2">
      <c r="A310" t="s">
        <v>44</v>
      </c>
      <c r="B310" t="s">
        <v>462</v>
      </c>
      <c r="C310" t="s">
        <v>175</v>
      </c>
      <c r="D310">
        <v>9</v>
      </c>
      <c r="G310" s="9">
        <v>0.305315947843531</v>
      </c>
      <c r="H310" s="9"/>
    </row>
    <row r="311" spans="1:8" x14ac:dyDescent="0.2">
      <c r="A311" t="s">
        <v>44</v>
      </c>
      <c r="B311" t="s">
        <v>462</v>
      </c>
      <c r="C311" t="s">
        <v>175</v>
      </c>
      <c r="D311">
        <v>10</v>
      </c>
      <c r="G311" s="9">
        <v>0.31996915959907501</v>
      </c>
      <c r="H311" s="9"/>
    </row>
    <row r="312" spans="1:8" x14ac:dyDescent="0.2">
      <c r="A312" t="s">
        <v>44</v>
      </c>
      <c r="B312" t="s">
        <v>463</v>
      </c>
      <c r="C312" t="s">
        <v>228</v>
      </c>
      <c r="D312">
        <v>1</v>
      </c>
      <c r="F312" s="9">
        <v>8</v>
      </c>
      <c r="G312" s="9">
        <v>0.29024488157366501</v>
      </c>
      <c r="H312" s="9"/>
    </row>
    <row r="313" spans="1:8" x14ac:dyDescent="0.2">
      <c r="A313" t="s">
        <v>44</v>
      </c>
      <c r="B313" t="s">
        <v>463</v>
      </c>
      <c r="C313" t="s">
        <v>228</v>
      </c>
      <c r="D313">
        <v>2</v>
      </c>
      <c r="F313" s="9">
        <v>8</v>
      </c>
      <c r="G313" s="9">
        <v>0.29289704708699099</v>
      </c>
      <c r="H313" s="9"/>
    </row>
    <row r="314" spans="1:8" x14ac:dyDescent="0.2">
      <c r="A314" t="s">
        <v>44</v>
      </c>
      <c r="B314" t="s">
        <v>463</v>
      </c>
      <c r="C314" t="s">
        <v>228</v>
      </c>
      <c r="D314">
        <v>3</v>
      </c>
      <c r="F314" s="9">
        <v>8</v>
      </c>
      <c r="G314" s="9">
        <v>0.29450029568302799</v>
      </c>
      <c r="H314" s="9"/>
    </row>
    <row r="315" spans="1:8" x14ac:dyDescent="0.2">
      <c r="A315" t="s">
        <v>44</v>
      </c>
      <c r="B315" t="s">
        <v>463</v>
      </c>
      <c r="C315" t="s">
        <v>228</v>
      </c>
      <c r="D315">
        <v>4</v>
      </c>
      <c r="F315" s="9">
        <v>10.4</v>
      </c>
      <c r="G315" s="9">
        <v>0.297383029341792</v>
      </c>
      <c r="H315" s="9"/>
    </row>
    <row r="316" spans="1:8" x14ac:dyDescent="0.2">
      <c r="A316" t="s">
        <v>44</v>
      </c>
      <c r="B316" t="s">
        <v>463</v>
      </c>
      <c r="C316" t="s">
        <v>228</v>
      </c>
      <c r="D316">
        <v>5</v>
      </c>
      <c r="F316" s="9">
        <v>17.2</v>
      </c>
      <c r="G316" s="9">
        <v>0.33291748351452499</v>
      </c>
      <c r="H316" s="9"/>
    </row>
    <row r="317" spans="1:8" x14ac:dyDescent="0.2">
      <c r="A317" t="s">
        <v>44</v>
      </c>
      <c r="B317" t="s">
        <v>463</v>
      </c>
      <c r="C317" t="s">
        <v>228</v>
      </c>
      <c r="D317">
        <v>6</v>
      </c>
      <c r="F317" s="9">
        <v>18.399999999999999</v>
      </c>
      <c r="G317" s="9">
        <v>0.35001635590448199</v>
      </c>
      <c r="H317" s="9"/>
    </row>
    <row r="318" spans="1:8" x14ac:dyDescent="0.2">
      <c r="A318" t="s">
        <v>44</v>
      </c>
      <c r="B318" t="s">
        <v>463</v>
      </c>
      <c r="C318" t="s">
        <v>228</v>
      </c>
      <c r="D318">
        <v>7</v>
      </c>
      <c r="F318" s="9">
        <v>18.5</v>
      </c>
      <c r="G318" s="9">
        <v>0.35721527543088899</v>
      </c>
    </row>
    <row r="319" spans="1:8" x14ac:dyDescent="0.2">
      <c r="A319" t="s">
        <v>44</v>
      </c>
      <c r="B319" t="s">
        <v>463</v>
      </c>
      <c r="C319" t="s">
        <v>228</v>
      </c>
      <c r="D319">
        <v>8</v>
      </c>
      <c r="F319" s="9">
        <v>21.7</v>
      </c>
      <c r="G319" s="9">
        <v>0.36275359805791602</v>
      </c>
    </row>
    <row r="320" spans="1:8" x14ac:dyDescent="0.2">
      <c r="A320" t="s">
        <v>44</v>
      </c>
      <c r="B320" t="s">
        <v>463</v>
      </c>
      <c r="C320" t="s">
        <v>228</v>
      </c>
      <c r="D320">
        <v>9</v>
      </c>
      <c r="F320" s="9">
        <v>23</v>
      </c>
      <c r="G320" s="9">
        <v>0.370563674321503</v>
      </c>
    </row>
    <row r="321" spans="1:14" x14ac:dyDescent="0.2">
      <c r="A321" t="s">
        <v>44</v>
      </c>
      <c r="B321" t="s">
        <v>463</v>
      </c>
      <c r="C321" t="s">
        <v>228</v>
      </c>
      <c r="D321">
        <v>10</v>
      </c>
      <c r="F321" s="9">
        <v>25.4</v>
      </c>
      <c r="G321" s="9">
        <v>0.37147308291500802</v>
      </c>
    </row>
    <row r="323" spans="1:14" x14ac:dyDescent="0.2">
      <c r="A323" s="38" t="s">
        <v>466</v>
      </c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</row>
    <row r="324" spans="1:14" x14ac:dyDescent="0.2">
      <c r="A324" s="8" t="s">
        <v>0</v>
      </c>
      <c r="B324" s="8" t="s">
        <v>467</v>
      </c>
      <c r="C324" s="8" t="s">
        <v>468</v>
      </c>
      <c r="D324" s="8" t="s">
        <v>469</v>
      </c>
      <c r="E324" s="8"/>
      <c r="F324" s="8"/>
      <c r="G324" s="8" t="s">
        <v>470</v>
      </c>
      <c r="H324" s="8" t="s">
        <v>471</v>
      </c>
      <c r="I324" s="8" t="s">
        <v>472</v>
      </c>
      <c r="J324" s="8" t="s">
        <v>473</v>
      </c>
      <c r="K324" s="8" t="s">
        <v>474</v>
      </c>
      <c r="L324" s="8" t="s">
        <v>475</v>
      </c>
    </row>
    <row r="325" spans="1:14" x14ac:dyDescent="0.2">
      <c r="A325" s="8" t="s">
        <v>40</v>
      </c>
      <c r="B325" s="9">
        <v>1</v>
      </c>
      <c r="C325" s="12">
        <v>0.93769470404984401</v>
      </c>
      <c r="D325" s="12">
        <v>0.93769470404984401</v>
      </c>
      <c r="E325" s="12"/>
      <c r="F325" s="12"/>
      <c r="G325" s="9">
        <v>0</v>
      </c>
      <c r="H325" s="9">
        <v>1.24</v>
      </c>
      <c r="I325" s="9">
        <v>7.38</v>
      </c>
      <c r="J325" s="9">
        <v>2.3511000000000002</v>
      </c>
      <c r="K325" s="9">
        <v>2.3511000000000002</v>
      </c>
      <c r="L325" s="9">
        <v>0</v>
      </c>
    </row>
    <row r="326" spans="1:14" x14ac:dyDescent="0.2">
      <c r="A326" s="8" t="s">
        <v>40</v>
      </c>
      <c r="B326" s="9">
        <v>2</v>
      </c>
      <c r="C326" s="12">
        <v>0.93769470404984401</v>
      </c>
      <c r="D326" s="12">
        <v>0.93769470404984401</v>
      </c>
      <c r="E326" s="12"/>
      <c r="F326" s="12"/>
      <c r="G326" s="9">
        <v>0</v>
      </c>
      <c r="H326" s="9">
        <v>1.05</v>
      </c>
      <c r="I326" s="9">
        <v>1.24</v>
      </c>
      <c r="J326" s="9">
        <v>2.3511000000000002</v>
      </c>
      <c r="K326" s="9">
        <v>2.3511000000000002</v>
      </c>
      <c r="L326" s="9">
        <v>0</v>
      </c>
    </row>
    <row r="327" spans="1:14" x14ac:dyDescent="0.2">
      <c r="A327" s="8" t="s">
        <v>40</v>
      </c>
      <c r="B327" s="9">
        <v>3</v>
      </c>
      <c r="C327" s="12">
        <v>0.95076923076923103</v>
      </c>
      <c r="D327" s="12">
        <v>0.95076923076923103</v>
      </c>
      <c r="E327" s="12"/>
      <c r="F327" s="12"/>
      <c r="G327" s="9">
        <v>0</v>
      </c>
      <c r="H327" s="9">
        <v>1.26</v>
      </c>
      <c r="I327" s="9">
        <v>2.13</v>
      </c>
      <c r="J327" s="9">
        <v>2.9781</v>
      </c>
      <c r="K327" s="9">
        <v>2.9781</v>
      </c>
      <c r="L327" s="9">
        <v>0</v>
      </c>
    </row>
    <row r="328" spans="1:14" x14ac:dyDescent="0.2">
      <c r="A328" s="8" t="s">
        <v>40</v>
      </c>
      <c r="B328" s="9">
        <v>4</v>
      </c>
      <c r="C328" s="12">
        <v>0.95412844036697297</v>
      </c>
      <c r="D328" s="12">
        <v>0.95412844036697297</v>
      </c>
      <c r="E328" s="12"/>
      <c r="F328" s="12"/>
      <c r="G328" s="9">
        <v>0</v>
      </c>
      <c r="H328" s="9">
        <v>1.91</v>
      </c>
      <c r="I328" s="9">
        <v>2.5099999999999998</v>
      </c>
      <c r="J328" s="9">
        <v>3.9184999999999999</v>
      </c>
      <c r="K328" s="9">
        <v>3.9184999999999999</v>
      </c>
      <c r="L328" s="9">
        <v>0</v>
      </c>
    </row>
    <row r="329" spans="1:14" x14ac:dyDescent="0.2">
      <c r="A329" s="8" t="s">
        <v>40</v>
      </c>
      <c r="B329" s="9">
        <v>5</v>
      </c>
      <c r="C329" s="12">
        <v>0.95558958652373704</v>
      </c>
      <c r="D329" s="12">
        <v>0.94915254237288105</v>
      </c>
      <c r="E329" s="12"/>
      <c r="F329" s="12"/>
      <c r="G329" s="9">
        <v>6.4000000000000003E-3</v>
      </c>
      <c r="H329" s="9">
        <v>4.0599999999999996</v>
      </c>
      <c r="I329" s="9">
        <v>2.73</v>
      </c>
      <c r="J329" s="9">
        <v>9.5610999999999997</v>
      </c>
      <c r="K329" s="9">
        <v>4.8589000000000002</v>
      </c>
      <c r="L329" s="9">
        <v>4.7022000000000004</v>
      </c>
    </row>
    <row r="330" spans="1:14" x14ac:dyDescent="0.2">
      <c r="A330" s="8" t="s">
        <v>40</v>
      </c>
      <c r="B330" s="9">
        <v>6</v>
      </c>
      <c r="C330" s="12">
        <v>0.94099378881987605</v>
      </c>
      <c r="D330" s="12">
        <v>0.94427244582043302</v>
      </c>
      <c r="E330" s="12"/>
      <c r="F330" s="12"/>
      <c r="G330" s="9">
        <v>-3.3E-3</v>
      </c>
      <c r="H330" s="9">
        <v>4.43</v>
      </c>
      <c r="I330" s="9">
        <v>3.6</v>
      </c>
      <c r="J330" s="9">
        <v>10.658300000000001</v>
      </c>
      <c r="K330" s="9">
        <v>5.9561000000000002</v>
      </c>
      <c r="L330" s="9">
        <v>4.7022000000000004</v>
      </c>
    </row>
    <row r="331" spans="1:14" x14ac:dyDescent="0.2">
      <c r="A331" s="8" t="s">
        <v>40</v>
      </c>
      <c r="B331" s="9">
        <v>7</v>
      </c>
      <c r="C331" s="12">
        <v>0.94316436251920099</v>
      </c>
      <c r="D331" s="12">
        <v>0.94946401225114896</v>
      </c>
      <c r="E331" s="12"/>
      <c r="F331" s="12"/>
      <c r="G331" s="9">
        <v>-6.3E-3</v>
      </c>
      <c r="H331" s="9">
        <v>5.61</v>
      </c>
      <c r="I331" s="9">
        <v>5.41</v>
      </c>
      <c r="J331" s="9">
        <v>11.598699999999999</v>
      </c>
      <c r="K331" s="9">
        <v>6.8966000000000003</v>
      </c>
      <c r="L331" s="9">
        <v>4.7020999999999997</v>
      </c>
    </row>
    <row r="332" spans="1:14" x14ac:dyDescent="0.2">
      <c r="A332" s="8" t="s">
        <v>40</v>
      </c>
      <c r="B332" s="9">
        <v>8</v>
      </c>
      <c r="C332" s="12">
        <v>0.96072507552870101</v>
      </c>
      <c r="D332" s="12">
        <v>0.95890410958904104</v>
      </c>
      <c r="E332" s="12"/>
      <c r="F332" s="12"/>
      <c r="G332" s="9">
        <v>1.8E-3</v>
      </c>
      <c r="H332" s="9">
        <v>7.99</v>
      </c>
      <c r="I332" s="9">
        <v>4.4800000000000004</v>
      </c>
      <c r="J332" s="9">
        <v>12.539199999999999</v>
      </c>
      <c r="K332" s="9">
        <v>7.9936999999999996</v>
      </c>
      <c r="L332" s="9">
        <v>4.5454999999999997</v>
      </c>
    </row>
    <row r="333" spans="1:14" x14ac:dyDescent="0.2">
      <c r="A333" s="8" t="s">
        <v>40</v>
      </c>
      <c r="B333" s="9">
        <v>9</v>
      </c>
      <c r="C333" s="12">
        <v>0.93934681181959601</v>
      </c>
      <c r="D333" s="12">
        <v>0.92598425196850398</v>
      </c>
      <c r="E333" s="12"/>
      <c r="F333" s="12"/>
      <c r="G333" s="9">
        <v>1.34E-2</v>
      </c>
      <c r="H333" s="9">
        <v>7.52</v>
      </c>
      <c r="I333" s="9">
        <v>8.49</v>
      </c>
      <c r="J333" s="9">
        <v>13.4796</v>
      </c>
      <c r="K333" s="9">
        <v>8.9342000000000006</v>
      </c>
      <c r="L333" s="9">
        <v>4.5453999999999999</v>
      </c>
    </row>
    <row r="334" spans="1:14" x14ac:dyDescent="0.2">
      <c r="A334" s="8" t="s">
        <v>40</v>
      </c>
      <c r="B334" s="9">
        <v>10</v>
      </c>
      <c r="C334" s="12">
        <v>0.95076923076923103</v>
      </c>
      <c r="D334" s="12">
        <v>0.93603744149765999</v>
      </c>
      <c r="E334" s="12"/>
      <c r="F334" s="12"/>
      <c r="G334" s="9">
        <v>1.47E-2</v>
      </c>
      <c r="H334" s="9">
        <v>7.31</v>
      </c>
      <c r="I334" s="9">
        <v>8.18</v>
      </c>
      <c r="J334" s="9">
        <v>14.4201</v>
      </c>
      <c r="K334" s="9">
        <v>9.8745999999999992</v>
      </c>
      <c r="L334" s="9">
        <v>4.5454999999999997</v>
      </c>
    </row>
    <row r="335" spans="1:14" x14ac:dyDescent="0.2">
      <c r="A335" s="8" t="s">
        <v>41</v>
      </c>
      <c r="B335" s="9">
        <v>1</v>
      </c>
      <c r="C335" s="9">
        <v>0.987083270390963</v>
      </c>
      <c r="D335" s="12">
        <v>0.99458683163063399</v>
      </c>
      <c r="E335" s="12"/>
      <c r="F335" s="12"/>
      <c r="G335" s="9">
        <v>-7.4999999999999997E-3</v>
      </c>
      <c r="H335" s="9">
        <v>11.57</v>
      </c>
      <c r="I335" s="9">
        <v>9.99</v>
      </c>
      <c r="J335" s="9">
        <v>5.9421999999999997</v>
      </c>
      <c r="K335" s="9">
        <v>0.99719999999999998</v>
      </c>
      <c r="L335" s="9">
        <v>4.9450000000000003</v>
      </c>
    </row>
    <row r="336" spans="1:14" x14ac:dyDescent="0.2">
      <c r="A336" s="8" t="s">
        <v>41</v>
      </c>
      <c r="B336" s="9">
        <v>2</v>
      </c>
      <c r="C336" s="9">
        <v>0.98056042883424799</v>
      </c>
      <c r="D336" s="9">
        <v>0.98367423044276003</v>
      </c>
      <c r="E336" s="9"/>
      <c r="F336" s="9"/>
      <c r="G336" s="9">
        <v>-3.0999999999999999E-3</v>
      </c>
      <c r="H336" s="9">
        <v>11.09</v>
      </c>
      <c r="I336" s="9">
        <v>9.6300000000000008</v>
      </c>
      <c r="J336" s="9">
        <v>6.8986999999999998</v>
      </c>
      <c r="K336" s="9">
        <v>1.9943</v>
      </c>
      <c r="L336" s="9">
        <v>4.9043999999999999</v>
      </c>
    </row>
    <row r="337" spans="1:12" x14ac:dyDescent="0.2">
      <c r="A337" s="13" t="s">
        <v>41</v>
      </c>
      <c r="B337" s="12">
        <v>3</v>
      </c>
      <c r="C337" s="12">
        <v>0.95804777873002001</v>
      </c>
      <c r="D337" s="9">
        <v>0.97006528315907903</v>
      </c>
      <c r="E337" s="9"/>
      <c r="F337" s="9"/>
      <c r="G337" s="9">
        <v>-1.2E-2</v>
      </c>
      <c r="H337" s="9">
        <v>10.54</v>
      </c>
      <c r="I337" s="9">
        <v>10.06</v>
      </c>
      <c r="J337" s="9">
        <v>7.8449</v>
      </c>
      <c r="K337" s="9">
        <v>2.9914999999999998</v>
      </c>
      <c r="L337" s="9">
        <v>4.8533999999999997</v>
      </c>
    </row>
    <row r="338" spans="1:12" x14ac:dyDescent="0.2">
      <c r="A338" s="8" t="s">
        <v>41</v>
      </c>
      <c r="B338" s="9">
        <v>4</v>
      </c>
      <c r="C338" s="9">
        <v>0.99594307817588301</v>
      </c>
      <c r="D338" s="9">
        <v>0.96584496735525405</v>
      </c>
      <c r="E338" s="9"/>
      <c r="F338" s="9"/>
      <c r="G338" s="9">
        <v>3.0099999999999998E-2</v>
      </c>
      <c r="H338" s="9">
        <v>11.4</v>
      </c>
      <c r="I338" s="9">
        <v>10.74</v>
      </c>
      <c r="J338" s="9">
        <v>8.8013999999999992</v>
      </c>
      <c r="K338" s="9">
        <v>3.9988000000000001</v>
      </c>
      <c r="L338" s="9">
        <v>4.8026</v>
      </c>
    </row>
    <row r="339" spans="1:12" x14ac:dyDescent="0.2">
      <c r="A339" s="8" t="s">
        <v>41</v>
      </c>
      <c r="B339" s="9">
        <v>5</v>
      </c>
      <c r="C339" s="9">
        <v>0.99392668792912098</v>
      </c>
      <c r="D339" s="9">
        <v>0.97456432372792201</v>
      </c>
      <c r="E339" s="9"/>
      <c r="F339" s="9"/>
      <c r="G339" s="9">
        <v>1.9400000000000001E-2</v>
      </c>
      <c r="H339" s="9">
        <v>11.72</v>
      </c>
      <c r="I339" s="9">
        <v>11.85</v>
      </c>
      <c r="J339" s="9">
        <v>9.7477</v>
      </c>
      <c r="K339" s="9">
        <v>4.9958999999999998</v>
      </c>
      <c r="L339" s="9">
        <v>4.7518000000000002</v>
      </c>
    </row>
    <row r="340" spans="1:12" x14ac:dyDescent="0.2">
      <c r="A340" s="8" t="s">
        <v>41</v>
      </c>
      <c r="B340" s="9">
        <v>6</v>
      </c>
      <c r="C340" s="9">
        <v>0.97194549373378802</v>
      </c>
      <c r="D340" s="9">
        <v>0.96999202368823001</v>
      </c>
      <c r="E340" s="9"/>
      <c r="F340" s="9"/>
      <c r="G340" s="9">
        <v>2E-3</v>
      </c>
      <c r="H340" s="9">
        <v>12.86</v>
      </c>
      <c r="I340" s="9">
        <v>12.27</v>
      </c>
      <c r="J340" s="9">
        <v>10.693899999999999</v>
      </c>
      <c r="K340" s="9">
        <v>5.9931000000000001</v>
      </c>
      <c r="L340" s="9">
        <v>4.7008000000000001</v>
      </c>
    </row>
    <row r="341" spans="1:12" x14ac:dyDescent="0.2">
      <c r="A341" s="8" t="s">
        <v>41</v>
      </c>
      <c r="B341" s="9">
        <v>7</v>
      </c>
      <c r="C341" s="9">
        <v>0.95128038620201705</v>
      </c>
      <c r="D341" s="9">
        <v>0.96452762102073897</v>
      </c>
      <c r="E341" s="9"/>
      <c r="F341" s="9"/>
      <c r="G341" s="9">
        <v>-1.32E-2</v>
      </c>
      <c r="H341" s="9">
        <v>13.03</v>
      </c>
      <c r="I341" s="9">
        <v>12.82</v>
      </c>
      <c r="J341" s="9">
        <v>11.6402</v>
      </c>
      <c r="K341" s="9">
        <v>6.9901999999999997</v>
      </c>
      <c r="L341" s="9">
        <v>4.6500000000000004</v>
      </c>
    </row>
    <row r="342" spans="1:12" x14ac:dyDescent="0.2">
      <c r="A342" s="8" t="s">
        <v>41</v>
      </c>
      <c r="B342" s="9">
        <v>8</v>
      </c>
      <c r="C342" s="9">
        <v>0.95043193476469301</v>
      </c>
      <c r="D342" s="9">
        <v>0.93173306133940403</v>
      </c>
      <c r="E342" s="9"/>
      <c r="F342" s="9"/>
      <c r="G342" s="9">
        <v>1.8700000000000001E-2</v>
      </c>
      <c r="H342" s="9">
        <v>13.19</v>
      </c>
      <c r="I342" s="9">
        <v>12.77</v>
      </c>
      <c r="J342" s="9">
        <v>12.5967</v>
      </c>
      <c r="K342" s="9">
        <v>7.9976000000000003</v>
      </c>
      <c r="L342" s="9">
        <v>4.5991</v>
      </c>
    </row>
    <row r="343" spans="1:12" s="16" customFormat="1" x14ac:dyDescent="0.2">
      <c r="A343" s="14" t="s">
        <v>41</v>
      </c>
      <c r="B343" s="15">
        <v>9</v>
      </c>
      <c r="C343" s="15">
        <v>0.99781885831373496</v>
      </c>
      <c r="D343" s="15">
        <v>0.98187507015133701</v>
      </c>
      <c r="E343" s="15"/>
      <c r="F343" s="15"/>
      <c r="G343" s="15">
        <v>1.5900000000000001E-2</v>
      </c>
      <c r="H343" s="15">
        <v>12.89</v>
      </c>
      <c r="I343" s="15">
        <v>12.9</v>
      </c>
      <c r="J343" s="15">
        <v>13.542899999999999</v>
      </c>
      <c r="K343" s="15">
        <v>8.9946999999999999</v>
      </c>
      <c r="L343" s="15">
        <v>4.5481999999999996</v>
      </c>
    </row>
    <row r="344" spans="1:12" x14ac:dyDescent="0.2">
      <c r="A344" s="8" t="s">
        <v>41</v>
      </c>
      <c r="B344" s="9">
        <v>10</v>
      </c>
      <c r="C344" s="9">
        <v>0.98936125425576305</v>
      </c>
      <c r="D344" s="9">
        <v>0.977973298176398</v>
      </c>
      <c r="E344" s="9"/>
      <c r="F344" s="9"/>
      <c r="G344" s="9">
        <v>1.14E-2</v>
      </c>
      <c r="H344" s="9">
        <v>13.44</v>
      </c>
      <c r="I344" s="9">
        <v>13.15</v>
      </c>
      <c r="J344" s="9">
        <v>14.4892</v>
      </c>
      <c r="K344" s="9">
        <v>9.9918999999999993</v>
      </c>
      <c r="L344" s="9">
        <v>4.4973000000000001</v>
      </c>
    </row>
    <row r="345" spans="1:12" x14ac:dyDescent="0.2">
      <c r="A345" s="8" t="s">
        <v>42</v>
      </c>
      <c r="B345" s="9">
        <v>1</v>
      </c>
      <c r="C345" s="9">
        <v>1.21212121212121E-2</v>
      </c>
      <c r="D345" s="9">
        <v>1.21212121212121E-2</v>
      </c>
      <c r="E345" s="9"/>
      <c r="F345" s="9"/>
      <c r="G345" s="9">
        <v>0</v>
      </c>
      <c r="H345" s="9">
        <v>3</v>
      </c>
      <c r="I345" s="9">
        <v>6.55</v>
      </c>
      <c r="J345" s="9">
        <v>0.95740000000000003</v>
      </c>
      <c r="K345" s="9">
        <v>0.95740000000000003</v>
      </c>
      <c r="L345" s="9">
        <v>0</v>
      </c>
    </row>
    <row r="346" spans="1:12" x14ac:dyDescent="0.2">
      <c r="A346" s="8" t="s">
        <v>42</v>
      </c>
      <c r="B346" s="9">
        <v>2</v>
      </c>
      <c r="C346" s="9">
        <v>1.1904761904761901E-2</v>
      </c>
      <c r="D346" s="9">
        <v>1.1904761904761901E-2</v>
      </c>
      <c r="E346" s="9"/>
      <c r="F346" s="9"/>
      <c r="G346" s="9">
        <v>0</v>
      </c>
      <c r="H346" s="9">
        <v>3.52</v>
      </c>
      <c r="I346" s="9">
        <v>5.54</v>
      </c>
      <c r="J346" s="9">
        <v>1.9681</v>
      </c>
      <c r="K346" s="9">
        <v>1.9681</v>
      </c>
      <c r="L346" s="9">
        <v>0</v>
      </c>
    </row>
    <row r="347" spans="1:12" x14ac:dyDescent="0.2">
      <c r="A347" s="8" t="s">
        <v>42</v>
      </c>
      <c r="B347" s="9">
        <v>3</v>
      </c>
      <c r="C347" s="9">
        <v>3.2608695652173898E-2</v>
      </c>
      <c r="D347" s="9">
        <v>2.3391812865497099E-2</v>
      </c>
      <c r="E347" s="9"/>
      <c r="F347" s="9"/>
      <c r="G347" s="9">
        <v>9.1999999999999998E-3</v>
      </c>
      <c r="H347" s="9">
        <v>13.95</v>
      </c>
      <c r="I347" s="9">
        <v>6.94</v>
      </c>
      <c r="J347" s="9">
        <v>7.8190999999999997</v>
      </c>
      <c r="K347" s="9">
        <v>2.9786999999999999</v>
      </c>
      <c r="L347" s="9">
        <v>4.8403999999999998</v>
      </c>
    </row>
    <row r="348" spans="1:12" x14ac:dyDescent="0.2">
      <c r="A348" s="8" t="s">
        <v>42</v>
      </c>
      <c r="B348" s="9">
        <v>4</v>
      </c>
      <c r="C348" s="9">
        <v>0.14705882352941199</v>
      </c>
      <c r="D348" s="9">
        <v>6.8571428571428603E-2</v>
      </c>
      <c r="E348" s="9"/>
      <c r="F348" s="9"/>
      <c r="G348" s="9">
        <v>7.85E-2</v>
      </c>
      <c r="H348" s="9">
        <v>16.97</v>
      </c>
      <c r="I348" s="9">
        <v>10.95</v>
      </c>
      <c r="J348" s="9">
        <v>8.7766000000000002</v>
      </c>
      <c r="K348" s="9">
        <v>3.9893999999999998</v>
      </c>
      <c r="L348" s="9">
        <v>4.7872000000000003</v>
      </c>
    </row>
    <row r="349" spans="1:12" x14ac:dyDescent="0.2">
      <c r="A349" s="8" t="s">
        <v>42</v>
      </c>
      <c r="B349" s="9">
        <v>5</v>
      </c>
      <c r="C349" s="9">
        <v>7.4866310160427801E-2</v>
      </c>
      <c r="D349" s="9">
        <v>6.8181818181818205E-2</v>
      </c>
      <c r="E349" s="9"/>
      <c r="F349" s="9"/>
      <c r="G349" s="9">
        <v>6.7000000000000002E-3</v>
      </c>
      <c r="H349" s="9">
        <v>18.850000000000001</v>
      </c>
      <c r="I349" s="9">
        <v>11.19</v>
      </c>
      <c r="J349" s="9">
        <v>9.734</v>
      </c>
      <c r="K349" s="9">
        <v>5</v>
      </c>
      <c r="L349" s="9">
        <v>4.734</v>
      </c>
    </row>
    <row r="350" spans="1:12" x14ac:dyDescent="0.2">
      <c r="A350" s="8" t="s">
        <v>42</v>
      </c>
      <c r="B350" s="9">
        <v>6</v>
      </c>
      <c r="C350" s="9">
        <v>0.17910447761194001</v>
      </c>
      <c r="D350" s="9">
        <v>7.5675675675675694E-2</v>
      </c>
      <c r="E350" s="9"/>
      <c r="F350" s="9"/>
      <c r="G350" s="9">
        <v>0.10340000000000001</v>
      </c>
      <c r="H350" s="9">
        <v>19.39</v>
      </c>
      <c r="I350" s="9">
        <v>14.03</v>
      </c>
      <c r="J350" s="9">
        <v>10.638299999999999</v>
      </c>
      <c r="K350" s="9">
        <v>5.9573999999999998</v>
      </c>
      <c r="L350" s="9">
        <v>4.6809000000000003</v>
      </c>
    </row>
    <row r="351" spans="1:12" x14ac:dyDescent="0.2">
      <c r="A351" s="8" t="s">
        <v>42</v>
      </c>
      <c r="B351" s="9">
        <v>7</v>
      </c>
      <c r="C351" s="9">
        <v>0.105263157894737</v>
      </c>
      <c r="D351" s="9">
        <v>4.6783625730994198E-2</v>
      </c>
      <c r="E351" s="9"/>
      <c r="F351" s="9"/>
      <c r="G351" s="9">
        <v>5.8500000000000003E-2</v>
      </c>
      <c r="H351" s="9">
        <v>21.88</v>
      </c>
      <c r="I351" s="9">
        <v>15.54</v>
      </c>
      <c r="J351" s="9">
        <v>11.595700000000001</v>
      </c>
      <c r="K351" s="9">
        <v>6.9680999999999997</v>
      </c>
      <c r="L351" s="9">
        <v>4.6276000000000002</v>
      </c>
    </row>
    <row r="352" spans="1:12" x14ac:dyDescent="0.2">
      <c r="A352" s="8" t="s">
        <v>42</v>
      </c>
      <c r="B352" s="9">
        <v>8</v>
      </c>
      <c r="C352" s="9">
        <v>0.17674418604651199</v>
      </c>
      <c r="D352" s="9">
        <v>0.10989010989011</v>
      </c>
      <c r="E352" s="9"/>
      <c r="F352" s="9"/>
      <c r="G352" s="9">
        <v>6.6900000000000001E-2</v>
      </c>
      <c r="H352" s="9">
        <v>24.28</v>
      </c>
      <c r="I352" s="9">
        <v>16.82</v>
      </c>
      <c r="J352" s="9">
        <v>12.5532</v>
      </c>
      <c r="K352" s="9">
        <v>7.9786999999999999</v>
      </c>
      <c r="L352" s="9">
        <v>4.5744999999999996</v>
      </c>
    </row>
    <row r="353" spans="1:12" x14ac:dyDescent="0.2">
      <c r="A353" s="8" t="s">
        <v>42</v>
      </c>
      <c r="B353" s="9">
        <v>9</v>
      </c>
      <c r="C353" s="9">
        <v>7.3684210526315796E-2</v>
      </c>
      <c r="D353" s="9">
        <v>0.10582010582010599</v>
      </c>
      <c r="E353" s="9"/>
      <c r="F353" s="9"/>
      <c r="G353" s="9">
        <v>-3.2099999999999997E-2</v>
      </c>
      <c r="H353" s="9">
        <v>25.36</v>
      </c>
      <c r="I353" s="9">
        <v>19.55</v>
      </c>
      <c r="J353" s="9">
        <v>13.563800000000001</v>
      </c>
      <c r="K353" s="9">
        <v>8.9893999999999998</v>
      </c>
      <c r="L353" s="9">
        <v>4.5743999999999998</v>
      </c>
    </row>
    <row r="354" spans="1:12" x14ac:dyDescent="0.2">
      <c r="A354" s="8" t="s">
        <v>42</v>
      </c>
      <c r="B354" s="9">
        <v>10</v>
      </c>
      <c r="C354" s="9">
        <v>0.13636363636363599</v>
      </c>
      <c r="D354" s="9">
        <v>9.8522167487684706E-2</v>
      </c>
      <c r="E354" s="9"/>
      <c r="F354" s="9"/>
      <c r="G354" s="9">
        <v>3.78E-2</v>
      </c>
      <c r="H354" s="9">
        <v>25.26</v>
      </c>
      <c r="I354" s="9">
        <v>17.920000000000002</v>
      </c>
      <c r="J354" s="9">
        <v>14.5213</v>
      </c>
      <c r="K354" s="9">
        <v>10</v>
      </c>
      <c r="L354" s="9">
        <v>4.5213000000000001</v>
      </c>
    </row>
    <row r="355" spans="1:12" x14ac:dyDescent="0.2">
      <c r="A355" s="8" t="s">
        <v>39</v>
      </c>
      <c r="B355" s="9">
        <v>1</v>
      </c>
      <c r="C355" s="9">
        <v>0.47058823529411797</v>
      </c>
      <c r="D355" s="9">
        <v>0.47058823529411797</v>
      </c>
      <c r="E355" s="9"/>
      <c r="F355" s="9"/>
      <c r="G355" s="9">
        <v>0</v>
      </c>
      <c r="H355" s="9">
        <v>5.68</v>
      </c>
      <c r="I355" s="9">
        <v>15.36</v>
      </c>
      <c r="J355" s="9">
        <v>6</v>
      </c>
      <c r="K355" s="9">
        <v>6</v>
      </c>
      <c r="L355" s="9">
        <v>0</v>
      </c>
    </row>
    <row r="356" spans="1:12" x14ac:dyDescent="0.2">
      <c r="A356" s="8" t="s">
        <v>39</v>
      </c>
      <c r="B356" s="9">
        <v>2</v>
      </c>
      <c r="C356" s="9">
        <v>0.47058823529411797</v>
      </c>
      <c r="D356" s="9">
        <v>0.47058823529411797</v>
      </c>
      <c r="E356" s="9"/>
      <c r="F356" s="9"/>
      <c r="G356" s="9">
        <v>0</v>
      </c>
      <c r="H356" s="9">
        <v>6.09</v>
      </c>
      <c r="I356" s="9">
        <v>6.11</v>
      </c>
      <c r="J356" s="9">
        <v>6</v>
      </c>
      <c r="K356" s="9">
        <v>6</v>
      </c>
      <c r="L356" s="9">
        <v>0</v>
      </c>
    </row>
    <row r="357" spans="1:12" x14ac:dyDescent="0.2">
      <c r="A357" s="8" t="s">
        <v>39</v>
      </c>
      <c r="B357" s="9">
        <v>3</v>
      </c>
      <c r="C357" s="9">
        <v>0.47058823529411797</v>
      </c>
      <c r="D357" s="9">
        <v>0.47058823529411797</v>
      </c>
      <c r="E357" s="9"/>
      <c r="F357" s="9"/>
      <c r="G357" s="9">
        <v>0</v>
      </c>
      <c r="H357" s="9">
        <v>5.8</v>
      </c>
      <c r="I357" s="9">
        <v>6.19</v>
      </c>
      <c r="J357" s="9">
        <v>6</v>
      </c>
      <c r="K357" s="9">
        <v>6</v>
      </c>
      <c r="L357" s="9">
        <v>0</v>
      </c>
    </row>
    <row r="358" spans="1:12" x14ac:dyDescent="0.2">
      <c r="A358" s="8" t="s">
        <v>39</v>
      </c>
      <c r="B358" s="9">
        <v>4</v>
      </c>
      <c r="C358" s="9">
        <v>0.47058823529411797</v>
      </c>
      <c r="D358" s="9">
        <v>0.47058823529411797</v>
      </c>
      <c r="E358" s="9"/>
      <c r="F358" s="9"/>
      <c r="G358" s="9">
        <v>0</v>
      </c>
      <c r="H358" s="9">
        <v>5.61</v>
      </c>
      <c r="I358" s="9">
        <v>6.07</v>
      </c>
      <c r="J358" s="9">
        <v>6</v>
      </c>
      <c r="K358" s="9">
        <v>6</v>
      </c>
      <c r="L358" s="9">
        <v>0</v>
      </c>
    </row>
    <row r="359" spans="1:12" x14ac:dyDescent="0.2">
      <c r="A359" s="8" t="s">
        <v>39</v>
      </c>
      <c r="B359" s="9">
        <v>5</v>
      </c>
      <c r="C359" s="9">
        <v>0.47058823529411797</v>
      </c>
      <c r="D359" s="9">
        <v>0.47058823529411797</v>
      </c>
      <c r="E359" s="9"/>
      <c r="F359" s="9"/>
      <c r="G359" s="9">
        <v>0</v>
      </c>
      <c r="H359" s="9">
        <v>5.95</v>
      </c>
      <c r="I359" s="9">
        <v>6.19</v>
      </c>
      <c r="J359" s="9">
        <v>6</v>
      </c>
      <c r="K359" s="9">
        <v>6</v>
      </c>
      <c r="L359" s="9">
        <v>0</v>
      </c>
    </row>
    <row r="360" spans="1:12" x14ac:dyDescent="0.2">
      <c r="A360" s="8" t="s">
        <v>39</v>
      </c>
      <c r="B360" s="9">
        <v>6</v>
      </c>
      <c r="C360" s="9">
        <v>0.47058823529411797</v>
      </c>
      <c r="D360" s="9">
        <v>0.47058823529411797</v>
      </c>
      <c r="E360" s="9"/>
      <c r="F360" s="9"/>
      <c r="G360" s="9">
        <v>0</v>
      </c>
      <c r="H360" s="9">
        <v>5.88</v>
      </c>
      <c r="I360" s="9">
        <v>5.8</v>
      </c>
      <c r="J360" s="9">
        <v>6</v>
      </c>
      <c r="K360" s="9">
        <v>6</v>
      </c>
      <c r="L360" s="9">
        <v>0</v>
      </c>
    </row>
    <row r="361" spans="1:12" x14ac:dyDescent="0.2">
      <c r="A361" s="8" t="s">
        <v>39</v>
      </c>
      <c r="B361" s="9">
        <v>7</v>
      </c>
      <c r="C361" s="9">
        <v>0.47058823529411797</v>
      </c>
      <c r="D361" s="9">
        <v>0.44444444444444398</v>
      </c>
      <c r="E361" s="9"/>
      <c r="F361" s="9"/>
      <c r="G361" s="9">
        <v>2.6100000000000002E-2</v>
      </c>
      <c r="H361" s="9">
        <v>5.56</v>
      </c>
      <c r="I361" s="9">
        <v>7.83</v>
      </c>
      <c r="J361" s="9">
        <v>6.8</v>
      </c>
      <c r="K361" s="9">
        <v>6.8</v>
      </c>
      <c r="L361" s="9">
        <v>0</v>
      </c>
    </row>
    <row r="362" spans="1:12" x14ac:dyDescent="0.2">
      <c r="A362" s="8" t="s">
        <v>39</v>
      </c>
      <c r="B362" s="9">
        <v>8</v>
      </c>
      <c r="C362" s="9">
        <v>0.47058823529411797</v>
      </c>
      <c r="D362" s="9">
        <v>0.47058823529411797</v>
      </c>
      <c r="E362" s="9"/>
      <c r="F362" s="9"/>
      <c r="G362" s="9">
        <v>0</v>
      </c>
      <c r="H362" s="9">
        <v>6.8</v>
      </c>
      <c r="I362" s="9">
        <v>8.09</v>
      </c>
      <c r="J362" s="9">
        <v>8</v>
      </c>
      <c r="K362" s="9">
        <v>8</v>
      </c>
      <c r="L362" s="9">
        <v>0</v>
      </c>
    </row>
    <row r="363" spans="1:12" x14ac:dyDescent="0.2">
      <c r="A363" s="8" t="s">
        <v>39</v>
      </c>
      <c r="B363" s="9">
        <v>9</v>
      </c>
      <c r="C363" s="9">
        <v>0.375</v>
      </c>
      <c r="D363" s="9">
        <v>0.375</v>
      </c>
      <c r="E363" s="9"/>
      <c r="F363" s="9"/>
      <c r="G363" s="9">
        <v>0</v>
      </c>
      <c r="H363" s="9">
        <v>5.58</v>
      </c>
      <c r="I363" s="9">
        <v>7.09</v>
      </c>
      <c r="J363" s="9">
        <v>8.8000000000000007</v>
      </c>
      <c r="K363" s="9">
        <v>8.8000000000000007</v>
      </c>
      <c r="L363" s="9">
        <v>0</v>
      </c>
    </row>
    <row r="364" spans="1:12" x14ac:dyDescent="0.2">
      <c r="A364" s="8" t="s">
        <v>39</v>
      </c>
      <c r="B364" s="9">
        <v>10</v>
      </c>
      <c r="C364" s="9">
        <v>0.47058823529411797</v>
      </c>
      <c r="D364" s="9">
        <v>0.47058823529411797</v>
      </c>
      <c r="E364" s="9"/>
      <c r="F364" s="9"/>
      <c r="G364" s="9">
        <v>0</v>
      </c>
      <c r="H364" s="9">
        <v>7.91</v>
      </c>
      <c r="I364" s="9">
        <v>9.77</v>
      </c>
      <c r="J364" s="9">
        <v>10</v>
      </c>
      <c r="K364" s="9">
        <v>10</v>
      </c>
      <c r="L364" s="9">
        <v>0</v>
      </c>
    </row>
    <row r="365" spans="1:12" x14ac:dyDescent="0.2">
      <c r="A365" s="8" t="s">
        <v>36</v>
      </c>
      <c r="B365" s="9">
        <v>1</v>
      </c>
      <c r="C365" s="10">
        <v>0.40350877192982498</v>
      </c>
      <c r="D365" s="10">
        <v>8.0645161290322606E-2</v>
      </c>
      <c r="E365" s="10"/>
      <c r="F365" s="10"/>
      <c r="G365" s="9">
        <v>0.32290000000000002</v>
      </c>
      <c r="H365" s="9">
        <v>0.91</v>
      </c>
      <c r="I365" s="9">
        <v>1.61</v>
      </c>
      <c r="J365" s="9">
        <v>5.8894000000000002</v>
      </c>
      <c r="K365" s="9">
        <v>0.95179999999999998</v>
      </c>
      <c r="L365" s="9">
        <v>4.9375999999999998</v>
      </c>
    </row>
    <row r="366" spans="1:12" x14ac:dyDescent="0.2">
      <c r="A366" s="8" t="s">
        <v>36</v>
      </c>
      <c r="B366" s="9">
        <v>2</v>
      </c>
      <c r="C366" s="10">
        <v>0.56115107913669104</v>
      </c>
      <c r="D366" s="10">
        <v>0.21621621621621601</v>
      </c>
      <c r="E366" s="10"/>
      <c r="F366" s="10"/>
      <c r="G366" s="9">
        <v>0.34489999999999998</v>
      </c>
      <c r="H366" s="9">
        <v>0.92</v>
      </c>
      <c r="I366" s="9">
        <v>1.05</v>
      </c>
      <c r="J366" s="9">
        <v>6.8411999999999997</v>
      </c>
      <c r="K366" s="9">
        <v>1.9631000000000001</v>
      </c>
      <c r="L366" s="9">
        <v>4.8780999999999999</v>
      </c>
    </row>
    <row r="367" spans="1:12" x14ac:dyDescent="0.2">
      <c r="A367" s="8" t="s">
        <v>36</v>
      </c>
      <c r="B367" s="9">
        <v>3</v>
      </c>
      <c r="C367" s="10">
        <v>0.535433070866142</v>
      </c>
      <c r="D367" s="10">
        <v>0.21153846153846201</v>
      </c>
      <c r="E367" s="10"/>
      <c r="F367" s="10"/>
      <c r="G367" s="9">
        <v>0.32390000000000002</v>
      </c>
      <c r="H367" s="9">
        <v>0.97</v>
      </c>
      <c r="I367" s="9">
        <v>1.22</v>
      </c>
      <c r="J367" s="9">
        <v>7.8525</v>
      </c>
      <c r="K367" s="9">
        <v>2.9744000000000002</v>
      </c>
      <c r="L367" s="9">
        <v>4.8780999999999999</v>
      </c>
    </row>
    <row r="368" spans="1:12" x14ac:dyDescent="0.2">
      <c r="A368" s="8" t="s">
        <v>36</v>
      </c>
      <c r="B368" s="9">
        <v>4</v>
      </c>
      <c r="C368" s="10">
        <v>0.64171122994652396</v>
      </c>
      <c r="D368" s="10">
        <v>0.32432432432432401</v>
      </c>
      <c r="E368" s="10"/>
      <c r="F368" s="10"/>
      <c r="G368" s="9">
        <v>0.31740000000000002</v>
      </c>
      <c r="H368" s="9">
        <v>1.01</v>
      </c>
      <c r="I368" s="9">
        <v>1.3</v>
      </c>
      <c r="J368" s="9">
        <v>8.8042999999999996</v>
      </c>
      <c r="K368" s="9">
        <v>3.9857</v>
      </c>
      <c r="L368" s="9">
        <v>4.8186</v>
      </c>
    </row>
    <row r="369" spans="1:12" x14ac:dyDescent="0.2">
      <c r="A369" s="8" t="s">
        <v>36</v>
      </c>
      <c r="B369" s="9">
        <v>5</v>
      </c>
      <c r="C369" s="10">
        <v>0.77631578947368396</v>
      </c>
      <c r="D369" s="10">
        <v>0.245283018867925</v>
      </c>
      <c r="E369" s="10"/>
      <c r="F369" s="10"/>
      <c r="G369" s="9">
        <v>0.53100000000000003</v>
      </c>
      <c r="H369" s="9">
        <v>0.9</v>
      </c>
      <c r="I369" s="9">
        <v>1.28</v>
      </c>
      <c r="J369" s="9">
        <v>9.7561</v>
      </c>
      <c r="K369" s="9">
        <v>4.9969999999999999</v>
      </c>
      <c r="L369" s="9">
        <v>4.7591000000000001</v>
      </c>
    </row>
    <row r="370" spans="1:12" x14ac:dyDescent="0.2">
      <c r="A370" s="8" t="s">
        <v>36</v>
      </c>
      <c r="B370" s="9">
        <v>6</v>
      </c>
      <c r="C370" s="10">
        <v>0.70748299319727903</v>
      </c>
      <c r="D370" s="10">
        <v>0.25688073394495398</v>
      </c>
      <c r="E370" s="10"/>
      <c r="F370" s="10"/>
      <c r="G370" s="9">
        <v>0.4506</v>
      </c>
      <c r="H370" s="9">
        <v>0.92</v>
      </c>
      <c r="I370" s="9">
        <v>1.38</v>
      </c>
      <c r="J370" s="9">
        <v>10.648400000000001</v>
      </c>
      <c r="K370" s="9">
        <v>5.9488000000000003</v>
      </c>
      <c r="L370" s="9">
        <v>4.6996000000000002</v>
      </c>
    </row>
    <row r="371" spans="1:12" x14ac:dyDescent="0.2">
      <c r="A371" s="8" t="s">
        <v>36</v>
      </c>
      <c r="B371" s="9">
        <v>7</v>
      </c>
      <c r="C371" s="10">
        <v>0.58015267175572505</v>
      </c>
      <c r="D371" s="10">
        <v>0.245283018867925</v>
      </c>
      <c r="E371" s="10"/>
      <c r="F371" s="10"/>
      <c r="G371" s="9">
        <v>0.33489999999999998</v>
      </c>
      <c r="H371" s="9">
        <v>1.05</v>
      </c>
      <c r="I371" s="9">
        <v>1.37</v>
      </c>
      <c r="J371" s="9">
        <v>11.600199999999999</v>
      </c>
      <c r="K371" s="9">
        <v>6.9600999999999997</v>
      </c>
      <c r="L371" s="9">
        <v>4.6401000000000003</v>
      </c>
    </row>
    <row r="372" spans="1:12" x14ac:dyDescent="0.2">
      <c r="A372" s="8" t="s">
        <v>36</v>
      </c>
      <c r="B372" s="9">
        <v>8</v>
      </c>
      <c r="C372" s="10">
        <v>0.78205128205128205</v>
      </c>
      <c r="D372" s="10">
        <v>0.36521739130434799</v>
      </c>
      <c r="E372" s="10"/>
      <c r="F372" s="10"/>
      <c r="G372" s="9">
        <v>0.4168</v>
      </c>
      <c r="H372" s="9">
        <v>0.94</v>
      </c>
      <c r="I372" s="9">
        <v>1.53</v>
      </c>
      <c r="J372" s="9">
        <v>12.552099999999999</v>
      </c>
      <c r="K372" s="9">
        <v>7.9714</v>
      </c>
      <c r="L372" s="9">
        <v>4.5807000000000002</v>
      </c>
    </row>
    <row r="373" spans="1:12" x14ac:dyDescent="0.2">
      <c r="A373" s="8" t="s">
        <v>36</v>
      </c>
      <c r="B373" s="9">
        <v>9</v>
      </c>
      <c r="C373" s="10">
        <v>0.80254777070063699</v>
      </c>
      <c r="D373" s="10">
        <v>0.42372881355932202</v>
      </c>
      <c r="E373" s="10"/>
      <c r="F373" s="10"/>
      <c r="G373" s="9">
        <v>0.37880000000000003</v>
      </c>
      <c r="H373" s="9">
        <v>0.95</v>
      </c>
      <c r="I373" s="9">
        <v>1.59</v>
      </c>
      <c r="J373" s="9">
        <v>13.5039</v>
      </c>
      <c r="K373" s="9">
        <v>8.9826999999999995</v>
      </c>
      <c r="L373" s="9">
        <v>4.5212000000000003</v>
      </c>
    </row>
    <row r="374" spans="1:12" x14ac:dyDescent="0.2">
      <c r="A374" s="8" t="s">
        <v>36</v>
      </c>
      <c r="B374" s="9">
        <v>10</v>
      </c>
      <c r="C374" s="10">
        <v>0.76623376623376604</v>
      </c>
      <c r="D374" s="10">
        <v>0.42372881355932202</v>
      </c>
      <c r="E374" s="10"/>
      <c r="F374" s="10"/>
      <c r="G374" s="9">
        <v>0.34250000000000003</v>
      </c>
      <c r="H374" s="9">
        <v>1.01</v>
      </c>
      <c r="I374" s="9">
        <v>1.49</v>
      </c>
      <c r="J374" s="9">
        <v>14.5152</v>
      </c>
      <c r="K374" s="9">
        <v>9.9940999999999995</v>
      </c>
      <c r="L374" s="9">
        <v>4.5210999999999997</v>
      </c>
    </row>
    <row r="375" spans="1:12" x14ac:dyDescent="0.2">
      <c r="A375" s="8" t="s">
        <v>37</v>
      </c>
      <c r="B375" s="9">
        <v>1</v>
      </c>
      <c r="C375" s="11">
        <v>5.9405940594059403E-2</v>
      </c>
      <c r="D375" s="11">
        <v>6.6666666666666693E-2</v>
      </c>
      <c r="E375" s="11"/>
      <c r="F375" s="11"/>
      <c r="G375" s="9">
        <v>-7.3000000000000001E-3</v>
      </c>
      <c r="H375" s="9">
        <v>13.58</v>
      </c>
      <c r="I375" s="9">
        <v>2.54</v>
      </c>
      <c r="J375" s="9">
        <v>6.4</v>
      </c>
      <c r="K375" s="9">
        <v>1.5</v>
      </c>
      <c r="L375" s="9">
        <v>4.9000000000000004</v>
      </c>
    </row>
    <row r="376" spans="1:12" x14ac:dyDescent="0.2">
      <c r="A376" s="8" t="s">
        <v>37</v>
      </c>
      <c r="B376" s="9">
        <v>2</v>
      </c>
      <c r="C376" s="11">
        <v>0.5</v>
      </c>
      <c r="D376" s="11">
        <v>0.5</v>
      </c>
      <c r="E376" s="11"/>
      <c r="F376" s="11"/>
      <c r="G376" s="9">
        <v>0</v>
      </c>
      <c r="H376" s="9">
        <v>13.77</v>
      </c>
      <c r="I376" s="9">
        <v>3.53</v>
      </c>
      <c r="J376" s="9">
        <v>6.9</v>
      </c>
      <c r="K376" s="9">
        <v>2</v>
      </c>
      <c r="L376" s="9">
        <v>4.9000000000000004</v>
      </c>
    </row>
    <row r="377" spans="1:12" x14ac:dyDescent="0.2">
      <c r="A377" s="8" t="s">
        <v>37</v>
      </c>
      <c r="B377" s="9">
        <v>3</v>
      </c>
      <c r="C377" s="11">
        <v>0.66666666666666696</v>
      </c>
      <c r="D377" s="11">
        <v>0.66666666666666696</v>
      </c>
      <c r="E377" s="11"/>
      <c r="F377" s="11"/>
      <c r="G377" s="9">
        <v>0</v>
      </c>
      <c r="H377" s="9">
        <v>4.03</v>
      </c>
      <c r="I377" s="9">
        <v>4.4400000000000004</v>
      </c>
      <c r="J377" s="9">
        <v>3</v>
      </c>
      <c r="K377" s="9">
        <v>3</v>
      </c>
      <c r="L377" s="9">
        <v>0</v>
      </c>
    </row>
    <row r="378" spans="1:12" x14ac:dyDescent="0.2">
      <c r="A378" s="8" t="s">
        <v>37</v>
      </c>
      <c r="B378" s="9">
        <v>4</v>
      </c>
      <c r="C378" s="11">
        <v>0.66666666666666696</v>
      </c>
      <c r="D378" s="11">
        <v>0.66666666666666696</v>
      </c>
      <c r="E378" s="11"/>
      <c r="F378" s="11"/>
      <c r="G378" s="9">
        <v>0</v>
      </c>
      <c r="H378" s="9">
        <v>16.649999999999999</v>
      </c>
      <c r="I378" s="9">
        <v>7.99</v>
      </c>
      <c r="J378" s="9">
        <v>8.8000000000000007</v>
      </c>
      <c r="K378" s="9">
        <v>4</v>
      </c>
      <c r="L378" s="9">
        <v>4.8</v>
      </c>
    </row>
    <row r="379" spans="1:12" x14ac:dyDescent="0.2">
      <c r="A379" s="8" t="s">
        <v>37</v>
      </c>
      <c r="B379" s="9">
        <v>5</v>
      </c>
      <c r="C379" s="11">
        <v>0.66666666666666696</v>
      </c>
      <c r="D379" s="11">
        <v>0.66666666666666696</v>
      </c>
      <c r="E379" s="11"/>
      <c r="F379" s="11"/>
      <c r="G379" s="9">
        <v>0</v>
      </c>
      <c r="H379" s="9">
        <v>18.77</v>
      </c>
      <c r="I379" s="9">
        <v>7.53</v>
      </c>
      <c r="J379" s="9">
        <v>9.8000000000000007</v>
      </c>
      <c r="K379" s="9">
        <v>5</v>
      </c>
      <c r="L379" s="9">
        <v>4.8</v>
      </c>
    </row>
    <row r="380" spans="1:12" x14ac:dyDescent="0.2">
      <c r="A380" s="8" t="s">
        <v>37</v>
      </c>
      <c r="B380" s="9">
        <v>6</v>
      </c>
      <c r="C380" s="11">
        <v>0.66666666666666696</v>
      </c>
      <c r="D380" s="11">
        <v>0.66666666666666696</v>
      </c>
      <c r="E380" s="11"/>
      <c r="F380" s="11"/>
      <c r="G380" s="9">
        <v>0</v>
      </c>
      <c r="H380" s="9">
        <v>23.49</v>
      </c>
      <c r="I380" s="9">
        <v>14.42</v>
      </c>
      <c r="J380" s="9">
        <v>10.7</v>
      </c>
      <c r="K380" s="9">
        <v>6</v>
      </c>
      <c r="L380" s="9">
        <v>4.7</v>
      </c>
    </row>
    <row r="381" spans="1:12" x14ac:dyDescent="0.2">
      <c r="A381" s="8" t="s">
        <v>37</v>
      </c>
      <c r="B381" s="9">
        <v>7</v>
      </c>
      <c r="C381" s="11">
        <v>0.66666666666666696</v>
      </c>
      <c r="D381" s="11">
        <v>0.66666666666666696</v>
      </c>
      <c r="E381" s="11"/>
      <c r="F381" s="11"/>
      <c r="G381" s="9">
        <v>0</v>
      </c>
      <c r="H381" s="9">
        <v>26.36</v>
      </c>
      <c r="I381" s="9">
        <v>18.86</v>
      </c>
      <c r="J381" s="9">
        <v>11.6</v>
      </c>
      <c r="K381" s="9">
        <v>7</v>
      </c>
      <c r="L381" s="9">
        <v>4.5999999999999996</v>
      </c>
    </row>
    <row r="382" spans="1:12" x14ac:dyDescent="0.2">
      <c r="A382" s="8" t="s">
        <v>37</v>
      </c>
      <c r="B382" s="9">
        <v>8</v>
      </c>
      <c r="C382" s="11">
        <v>0.66666666666666696</v>
      </c>
      <c r="D382" s="11">
        <v>0.66666666666666696</v>
      </c>
      <c r="E382" s="11"/>
      <c r="F382" s="11"/>
      <c r="G382" s="9">
        <v>0</v>
      </c>
      <c r="H382" s="9">
        <v>29.54</v>
      </c>
      <c r="I382" s="9">
        <v>22.98</v>
      </c>
      <c r="J382" s="9">
        <v>12.6</v>
      </c>
      <c r="K382" s="9">
        <v>8</v>
      </c>
      <c r="L382" s="9">
        <v>4.5999999999999996</v>
      </c>
    </row>
    <row r="383" spans="1:12" x14ac:dyDescent="0.2">
      <c r="A383" s="8" t="s">
        <v>37</v>
      </c>
      <c r="B383" s="9">
        <v>9</v>
      </c>
      <c r="C383" s="11">
        <v>0.66666666666666696</v>
      </c>
      <c r="D383" s="11">
        <v>0.66666666666666696</v>
      </c>
      <c r="E383" s="11"/>
      <c r="F383" s="11"/>
      <c r="G383" s="9">
        <v>0</v>
      </c>
      <c r="H383" s="9">
        <v>27.39</v>
      </c>
      <c r="I383" s="9">
        <v>20.12</v>
      </c>
      <c r="J383" s="9">
        <v>13.6</v>
      </c>
      <c r="K383" s="9">
        <v>9</v>
      </c>
      <c r="L383" s="9">
        <v>4.5999999999999996</v>
      </c>
    </row>
    <row r="384" spans="1:12" x14ac:dyDescent="0.2">
      <c r="A384" s="8" t="s">
        <v>37</v>
      </c>
      <c r="B384" s="9">
        <v>10</v>
      </c>
      <c r="C384" s="11">
        <v>0.66666666666666696</v>
      </c>
      <c r="D384" s="11">
        <v>0.66666666666666696</v>
      </c>
      <c r="E384" s="11"/>
      <c r="F384" s="11"/>
      <c r="G384" s="9">
        <v>0</v>
      </c>
      <c r="H384" s="9">
        <v>35.5</v>
      </c>
      <c r="I384" s="9">
        <v>27.69</v>
      </c>
      <c r="J384" s="9">
        <v>14.5</v>
      </c>
      <c r="K384" s="9">
        <v>10</v>
      </c>
      <c r="L384" s="9">
        <v>4.5</v>
      </c>
    </row>
    <row r="385" spans="1:12" x14ac:dyDescent="0.2">
      <c r="A385" s="8" t="s">
        <v>38</v>
      </c>
      <c r="B385" s="9">
        <v>1</v>
      </c>
      <c r="C385" s="12">
        <v>0.33333333333333298</v>
      </c>
      <c r="D385" s="12">
        <v>0.42105263157894701</v>
      </c>
      <c r="E385" s="12"/>
      <c r="F385" s="12"/>
      <c r="G385" s="9">
        <v>-8.77E-2</v>
      </c>
      <c r="H385" s="9">
        <v>10.49</v>
      </c>
      <c r="I385" s="9">
        <v>10.41</v>
      </c>
      <c r="J385" s="9">
        <v>9.8039000000000005</v>
      </c>
      <c r="K385" s="9">
        <v>4.9020000000000001</v>
      </c>
      <c r="L385" s="9">
        <v>4.9019000000000004</v>
      </c>
    </row>
    <row r="386" spans="1:12" x14ac:dyDescent="0.2">
      <c r="A386" s="8" t="s">
        <v>38</v>
      </c>
      <c r="B386" s="9">
        <v>2</v>
      </c>
      <c r="C386" s="12">
        <v>0.33333333333333298</v>
      </c>
      <c r="D386" s="12">
        <v>0.42105263157894701</v>
      </c>
      <c r="E386" s="12"/>
      <c r="F386" s="12"/>
      <c r="G386" s="9">
        <v>-8.77E-2</v>
      </c>
      <c r="H386" s="9">
        <v>9.61</v>
      </c>
      <c r="I386" s="9">
        <v>5.81</v>
      </c>
      <c r="J386" s="9">
        <v>9.8039000000000005</v>
      </c>
      <c r="K386" s="9">
        <v>4.9020000000000001</v>
      </c>
      <c r="L386" s="9">
        <v>4.9019000000000004</v>
      </c>
    </row>
    <row r="387" spans="1:12" x14ac:dyDescent="0.2">
      <c r="A387" s="8" t="s">
        <v>38</v>
      </c>
      <c r="B387" s="9">
        <v>3</v>
      </c>
      <c r="C387" s="12">
        <v>0.33333333333333298</v>
      </c>
      <c r="D387" s="12">
        <v>0.42105263157894701</v>
      </c>
      <c r="E387" s="12"/>
      <c r="F387" s="12"/>
      <c r="G387" s="9">
        <v>-8.77E-2</v>
      </c>
      <c r="H387" s="9">
        <v>9.86</v>
      </c>
      <c r="I387" s="9">
        <v>5.74</v>
      </c>
      <c r="J387" s="9">
        <v>9.8039000000000005</v>
      </c>
      <c r="K387" s="9">
        <v>4.9020000000000001</v>
      </c>
      <c r="L387" s="9">
        <v>4.9019000000000004</v>
      </c>
    </row>
    <row r="388" spans="1:12" x14ac:dyDescent="0.2">
      <c r="A388" s="8" t="s">
        <v>38</v>
      </c>
      <c r="B388" s="9">
        <v>4</v>
      </c>
      <c r="C388" s="12">
        <v>0.33333333333333298</v>
      </c>
      <c r="D388" s="12">
        <v>0.42105263157894701</v>
      </c>
      <c r="E388" s="12"/>
      <c r="F388" s="12"/>
      <c r="G388" s="9">
        <v>-8.77E-2</v>
      </c>
      <c r="H388" s="9">
        <v>9.61</v>
      </c>
      <c r="I388" s="9">
        <v>5.76</v>
      </c>
      <c r="J388" s="9">
        <v>9.8039000000000005</v>
      </c>
      <c r="K388" s="9">
        <v>4.9020000000000001</v>
      </c>
      <c r="L388" s="9">
        <v>4.9019000000000004</v>
      </c>
    </row>
    <row r="389" spans="1:12" x14ac:dyDescent="0.2">
      <c r="A389" s="8" t="s">
        <v>38</v>
      </c>
      <c r="B389" s="9">
        <v>5</v>
      </c>
      <c r="C389" s="12">
        <v>0.36363636363636398</v>
      </c>
      <c r="D389" s="12">
        <v>0.42105263157894701</v>
      </c>
      <c r="E389" s="12"/>
      <c r="F389" s="12"/>
      <c r="G389" s="9">
        <v>-5.74E-2</v>
      </c>
      <c r="H389" s="9">
        <v>9.8800000000000008</v>
      </c>
      <c r="I389" s="9">
        <v>6.36</v>
      </c>
      <c r="J389" s="9">
        <v>9.8039000000000005</v>
      </c>
      <c r="K389" s="9">
        <v>5.2287999999999997</v>
      </c>
      <c r="L389" s="9">
        <v>4.5750999999999999</v>
      </c>
    </row>
    <row r="390" spans="1:12" x14ac:dyDescent="0.2">
      <c r="A390" s="8" t="s">
        <v>38</v>
      </c>
      <c r="B390" s="9">
        <v>6</v>
      </c>
      <c r="C390" s="12">
        <v>0.48</v>
      </c>
      <c r="D390" s="12">
        <v>0.42105263157894701</v>
      </c>
      <c r="E390" s="12"/>
      <c r="F390" s="12"/>
      <c r="G390" s="9">
        <v>5.8900000000000001E-2</v>
      </c>
      <c r="H390" s="9">
        <v>13.84</v>
      </c>
      <c r="I390" s="9">
        <v>7.92</v>
      </c>
      <c r="J390" s="9">
        <v>10.7843</v>
      </c>
      <c r="K390" s="9">
        <v>6.2092000000000001</v>
      </c>
      <c r="L390" s="9">
        <v>4.5750999999999999</v>
      </c>
    </row>
    <row r="391" spans="1:12" x14ac:dyDescent="0.2">
      <c r="A391" s="8" t="s">
        <v>38</v>
      </c>
      <c r="B391" s="9">
        <v>7</v>
      </c>
      <c r="C391" s="12">
        <v>0.30769230769230799</v>
      </c>
      <c r="D391" s="12">
        <v>0.4</v>
      </c>
      <c r="E391" s="12"/>
      <c r="F391" s="12"/>
      <c r="G391" s="9">
        <v>-9.2299999999999993E-2</v>
      </c>
      <c r="H391" s="9">
        <v>12.52</v>
      </c>
      <c r="I391" s="9">
        <v>10.76</v>
      </c>
      <c r="J391" s="9">
        <v>11.764699999999999</v>
      </c>
      <c r="K391" s="9">
        <v>7.1894999999999998</v>
      </c>
      <c r="L391" s="9">
        <v>4.5751999999999997</v>
      </c>
    </row>
    <row r="392" spans="1:12" x14ac:dyDescent="0.2">
      <c r="A392" s="8" t="s">
        <v>38</v>
      </c>
      <c r="B392" s="9">
        <v>8</v>
      </c>
      <c r="C392" s="12">
        <v>0.32</v>
      </c>
      <c r="D392" s="12">
        <v>0.38095238095238099</v>
      </c>
      <c r="E392" s="12"/>
      <c r="F392" s="12"/>
      <c r="G392" s="9">
        <v>-6.0999999999999999E-2</v>
      </c>
      <c r="H392" s="9">
        <v>15.36</v>
      </c>
      <c r="I392" s="9">
        <v>12.51</v>
      </c>
      <c r="J392" s="9">
        <v>12.745100000000001</v>
      </c>
      <c r="K392" s="9">
        <v>8.1699000000000002</v>
      </c>
      <c r="L392" s="9">
        <v>4.5751999999999997</v>
      </c>
    </row>
    <row r="393" spans="1:12" x14ac:dyDescent="0.2">
      <c r="A393" s="8" t="s">
        <v>38</v>
      </c>
      <c r="B393" s="9">
        <v>9</v>
      </c>
      <c r="C393" s="12">
        <v>0.36363636363636398</v>
      </c>
      <c r="D393" s="12">
        <v>0.38095238095238099</v>
      </c>
      <c r="E393" s="12"/>
      <c r="F393" s="12"/>
      <c r="G393" s="9">
        <v>-1.7299999999999999E-2</v>
      </c>
      <c r="H393" s="9">
        <v>16.420000000000002</v>
      </c>
      <c r="I393" s="9">
        <v>13.65</v>
      </c>
      <c r="J393" s="9">
        <v>14.052300000000001</v>
      </c>
      <c r="K393" s="9">
        <v>9.4771000000000001</v>
      </c>
      <c r="L393" s="9">
        <v>4.5751999999999997</v>
      </c>
    </row>
    <row r="394" spans="1:12" x14ac:dyDescent="0.2">
      <c r="A394" s="8" t="s">
        <v>38</v>
      </c>
      <c r="B394" s="9">
        <v>10</v>
      </c>
      <c r="C394" s="12">
        <v>0.48275862068965503</v>
      </c>
      <c r="D394" s="12">
        <v>0.58333333333333304</v>
      </c>
      <c r="E394" s="12"/>
      <c r="F394" s="12"/>
      <c r="G394" s="9">
        <v>-0.10059999999999999</v>
      </c>
      <c r="H394" s="9">
        <v>14.85</v>
      </c>
      <c r="I394" s="9">
        <v>13.5</v>
      </c>
      <c r="J394" s="9">
        <v>15.0327</v>
      </c>
      <c r="K394" s="9">
        <v>10.4575</v>
      </c>
      <c r="L394" s="9">
        <v>4.5751999999999997</v>
      </c>
    </row>
    <row r="395" spans="1:12" x14ac:dyDescent="0.2">
      <c r="A395" s="8" t="s">
        <v>45</v>
      </c>
      <c r="B395" s="9">
        <v>1</v>
      </c>
      <c r="C395" s="9">
        <v>0</v>
      </c>
      <c r="D395" s="9">
        <v>0</v>
      </c>
      <c r="E395" s="9"/>
      <c r="F395" s="9"/>
      <c r="G395" s="9">
        <v>0</v>
      </c>
      <c r="H395" s="9">
        <v>1.33</v>
      </c>
      <c r="I395" s="9">
        <v>1.85</v>
      </c>
      <c r="J395" s="9">
        <v>5.6391</v>
      </c>
      <c r="K395" s="9">
        <v>5.6391</v>
      </c>
      <c r="L395" s="9">
        <v>0</v>
      </c>
    </row>
    <row r="396" spans="1:12" x14ac:dyDescent="0.2">
      <c r="A396" s="8" t="s">
        <v>45</v>
      </c>
      <c r="B396" s="9">
        <v>2</v>
      </c>
      <c r="C396" s="9">
        <v>0</v>
      </c>
      <c r="D396" s="9">
        <v>0</v>
      </c>
      <c r="E396" s="9"/>
      <c r="F396" s="9"/>
      <c r="G396" s="9">
        <v>0</v>
      </c>
      <c r="H396" s="9">
        <v>1.26</v>
      </c>
      <c r="I396" s="9">
        <v>1.29</v>
      </c>
      <c r="J396" s="9">
        <v>5.6391</v>
      </c>
      <c r="K396" s="9">
        <v>5.6391</v>
      </c>
      <c r="L396" s="9">
        <v>0</v>
      </c>
    </row>
    <row r="397" spans="1:12" x14ac:dyDescent="0.2">
      <c r="A397" s="8" t="s">
        <v>45</v>
      </c>
      <c r="B397" s="9">
        <v>3</v>
      </c>
      <c r="C397" s="9">
        <v>0</v>
      </c>
      <c r="D397" s="9">
        <v>0</v>
      </c>
      <c r="E397" s="9"/>
      <c r="F397" s="9"/>
      <c r="G397" s="9">
        <v>0</v>
      </c>
      <c r="H397" s="9">
        <v>1.19</v>
      </c>
      <c r="I397" s="9">
        <v>1.3</v>
      </c>
      <c r="J397" s="9">
        <v>5.6391</v>
      </c>
      <c r="K397" s="9">
        <v>5.6391</v>
      </c>
      <c r="L397" s="9">
        <v>0</v>
      </c>
    </row>
    <row r="398" spans="1:12" x14ac:dyDescent="0.2">
      <c r="A398" s="8" t="s">
        <v>45</v>
      </c>
      <c r="B398" s="9">
        <v>4</v>
      </c>
      <c r="C398" s="9">
        <v>0</v>
      </c>
      <c r="D398" s="9">
        <v>0</v>
      </c>
      <c r="E398" s="9"/>
      <c r="F398" s="9"/>
      <c r="G398" s="9">
        <v>0</v>
      </c>
      <c r="H398" s="9">
        <v>1.27</v>
      </c>
      <c r="I398" s="9">
        <v>1.25</v>
      </c>
      <c r="J398" s="9">
        <v>5.6391</v>
      </c>
      <c r="K398" s="9">
        <v>5.6391</v>
      </c>
      <c r="L398" s="9">
        <v>0</v>
      </c>
    </row>
    <row r="399" spans="1:12" x14ac:dyDescent="0.2">
      <c r="A399" s="8" t="s">
        <v>45</v>
      </c>
      <c r="B399" s="9">
        <v>5</v>
      </c>
      <c r="C399" s="9">
        <v>0</v>
      </c>
      <c r="D399" s="9">
        <v>0</v>
      </c>
      <c r="E399" s="9"/>
      <c r="F399" s="9"/>
      <c r="G399" s="9">
        <v>0</v>
      </c>
      <c r="H399" s="9">
        <v>1.24</v>
      </c>
      <c r="I399" s="9">
        <v>1.22</v>
      </c>
      <c r="J399" s="9">
        <v>5.6391</v>
      </c>
      <c r="K399" s="9">
        <v>5.6391</v>
      </c>
      <c r="L399" s="9">
        <v>0</v>
      </c>
    </row>
    <row r="400" spans="1:12" x14ac:dyDescent="0.2">
      <c r="A400" s="8" t="s">
        <v>45</v>
      </c>
      <c r="B400" s="9">
        <v>6</v>
      </c>
      <c r="C400" s="9">
        <v>0</v>
      </c>
      <c r="D400" s="9">
        <v>0</v>
      </c>
      <c r="E400" s="9"/>
      <c r="F400" s="9"/>
      <c r="G400" s="9">
        <v>0</v>
      </c>
      <c r="H400" s="9">
        <v>1.2</v>
      </c>
      <c r="I400" s="9">
        <v>1.23</v>
      </c>
      <c r="J400" s="9">
        <v>5.6391</v>
      </c>
      <c r="K400" s="9">
        <v>5.6391</v>
      </c>
      <c r="L400" s="9">
        <v>0</v>
      </c>
    </row>
    <row r="401" spans="1:12" x14ac:dyDescent="0.2">
      <c r="A401" s="8" t="s">
        <v>45</v>
      </c>
      <c r="B401" s="9">
        <v>7</v>
      </c>
      <c r="C401" s="9">
        <v>0</v>
      </c>
      <c r="D401" s="9">
        <v>0</v>
      </c>
      <c r="E401" s="9"/>
      <c r="F401" s="9"/>
      <c r="G401" s="9">
        <v>0</v>
      </c>
      <c r="H401" s="9">
        <v>1.29</v>
      </c>
      <c r="I401" s="9">
        <v>1.47</v>
      </c>
      <c r="J401" s="9">
        <v>6.7668999999999997</v>
      </c>
      <c r="K401" s="9">
        <v>6.7668999999999997</v>
      </c>
      <c r="L401" s="9">
        <v>0</v>
      </c>
    </row>
    <row r="402" spans="1:12" x14ac:dyDescent="0.2">
      <c r="A402" s="8" t="s">
        <v>45</v>
      </c>
      <c r="B402" s="9">
        <v>8</v>
      </c>
      <c r="C402" s="9">
        <v>0</v>
      </c>
      <c r="D402" s="9">
        <v>0</v>
      </c>
      <c r="E402" s="9"/>
      <c r="F402" s="9"/>
      <c r="G402" s="9">
        <v>0</v>
      </c>
      <c r="H402" s="9">
        <v>1.37</v>
      </c>
      <c r="I402" s="9">
        <v>1.54</v>
      </c>
      <c r="J402" s="9">
        <v>7.8947000000000003</v>
      </c>
      <c r="K402" s="9">
        <v>7.8947000000000003</v>
      </c>
      <c r="L402" s="9">
        <v>0</v>
      </c>
    </row>
    <row r="403" spans="1:12" x14ac:dyDescent="0.2">
      <c r="A403" s="8" t="s">
        <v>45</v>
      </c>
      <c r="B403" s="9">
        <v>9</v>
      </c>
      <c r="C403" s="9">
        <v>0</v>
      </c>
      <c r="D403" s="9">
        <v>0</v>
      </c>
      <c r="E403" s="9"/>
      <c r="F403" s="9"/>
      <c r="G403" s="9">
        <v>0</v>
      </c>
      <c r="H403" s="9">
        <v>1.43</v>
      </c>
      <c r="I403" s="9">
        <v>1.54</v>
      </c>
      <c r="J403" s="9">
        <v>8.6465999999999994</v>
      </c>
      <c r="K403" s="9">
        <v>8.6465999999999994</v>
      </c>
      <c r="L403" s="9">
        <v>0</v>
      </c>
    </row>
    <row r="404" spans="1:12" x14ac:dyDescent="0.2">
      <c r="A404" s="8" t="s">
        <v>45</v>
      </c>
      <c r="B404" s="9">
        <v>10</v>
      </c>
      <c r="C404" s="9">
        <v>0</v>
      </c>
      <c r="D404" s="9">
        <v>0</v>
      </c>
      <c r="E404" s="9"/>
      <c r="F404" s="9"/>
      <c r="G404" s="9">
        <v>0</v>
      </c>
      <c r="H404" s="9">
        <v>1.43</v>
      </c>
      <c r="I404" s="9">
        <v>1.62</v>
      </c>
      <c r="J404" s="9">
        <v>9.7744</v>
      </c>
      <c r="K404" s="9">
        <v>9.7744</v>
      </c>
      <c r="L404" s="9">
        <v>0</v>
      </c>
    </row>
    <row r="405" spans="1:12" x14ac:dyDescent="0.2">
      <c r="A405" s="8" t="s">
        <v>46</v>
      </c>
      <c r="B405" s="9">
        <v>1</v>
      </c>
      <c r="C405" s="9">
        <v>0.875</v>
      </c>
      <c r="D405" s="9">
        <v>0.85714285714285698</v>
      </c>
      <c r="E405" s="9"/>
      <c r="F405" s="9"/>
      <c r="G405" s="9">
        <v>1.7899999999999999E-2</v>
      </c>
      <c r="H405" s="9">
        <v>0.73</v>
      </c>
      <c r="I405" s="9">
        <v>0.63</v>
      </c>
      <c r="J405" s="9">
        <v>6.0308999999999999</v>
      </c>
      <c r="K405" s="9">
        <v>1.0519000000000001</v>
      </c>
      <c r="L405" s="9">
        <v>4.9790000000000001</v>
      </c>
    </row>
    <row r="406" spans="1:12" x14ac:dyDescent="0.2">
      <c r="A406" s="8" t="s">
        <v>46</v>
      </c>
      <c r="B406" s="9">
        <v>2</v>
      </c>
      <c r="C406" s="9">
        <v>0.875</v>
      </c>
      <c r="D406" s="9">
        <v>0.85714285714285698</v>
      </c>
      <c r="E406" s="9"/>
      <c r="F406" s="9"/>
      <c r="G406" s="9">
        <v>1.7899999999999999E-2</v>
      </c>
      <c r="H406" s="9">
        <v>0.83</v>
      </c>
      <c r="I406" s="9">
        <v>0.66</v>
      </c>
      <c r="J406" s="9">
        <v>6.8723999999999998</v>
      </c>
      <c r="K406" s="9">
        <v>1.9635</v>
      </c>
      <c r="L406" s="9">
        <v>4.9089</v>
      </c>
    </row>
    <row r="407" spans="1:12" x14ac:dyDescent="0.2">
      <c r="A407" s="8" t="s">
        <v>46</v>
      </c>
      <c r="B407" s="9">
        <v>3</v>
      </c>
      <c r="C407" s="9">
        <v>0.82352941176470595</v>
      </c>
      <c r="D407" s="9">
        <v>0.8</v>
      </c>
      <c r="E407" s="9"/>
      <c r="F407" s="9"/>
      <c r="G407" s="9">
        <v>2.35E-2</v>
      </c>
      <c r="H407" s="9">
        <v>0.83</v>
      </c>
      <c r="I407" s="9">
        <v>0.69</v>
      </c>
      <c r="J407" s="9">
        <v>7.7839999999999998</v>
      </c>
      <c r="K407" s="9">
        <v>2.9453</v>
      </c>
      <c r="L407" s="9">
        <v>4.8387000000000002</v>
      </c>
    </row>
    <row r="408" spans="1:12" x14ac:dyDescent="0.2">
      <c r="A408" s="8" t="s">
        <v>46</v>
      </c>
      <c r="B408" s="9">
        <v>4</v>
      </c>
      <c r="C408" s="9">
        <v>0.875</v>
      </c>
      <c r="D408" s="9">
        <v>0.85714285714285698</v>
      </c>
      <c r="E408" s="9"/>
      <c r="F408" s="9"/>
      <c r="G408" s="9">
        <v>1.7899999999999999E-2</v>
      </c>
      <c r="H408" s="9">
        <v>1.08</v>
      </c>
      <c r="I408" s="9">
        <v>0.89</v>
      </c>
      <c r="J408" s="9">
        <v>8.7658000000000005</v>
      </c>
      <c r="K408" s="9">
        <v>3.9971999999999999</v>
      </c>
      <c r="L408" s="9">
        <v>4.7686000000000002</v>
      </c>
    </row>
    <row r="409" spans="1:12" x14ac:dyDescent="0.2">
      <c r="A409" s="8" t="s">
        <v>46</v>
      </c>
      <c r="B409" s="9">
        <v>5</v>
      </c>
      <c r="C409" s="9">
        <v>0.875</v>
      </c>
      <c r="D409" s="9">
        <v>0.85714285714285698</v>
      </c>
      <c r="E409" s="9"/>
      <c r="F409" s="9"/>
      <c r="G409" s="9">
        <v>1.7899999999999999E-2</v>
      </c>
      <c r="H409" s="9">
        <v>0.93</v>
      </c>
      <c r="I409" s="9">
        <v>0.8</v>
      </c>
      <c r="J409" s="9">
        <v>9.7475000000000005</v>
      </c>
      <c r="K409" s="9">
        <v>4.9790000000000001</v>
      </c>
      <c r="L409" s="9">
        <v>4.7685000000000004</v>
      </c>
    </row>
    <row r="410" spans="1:12" x14ac:dyDescent="0.2">
      <c r="A410" s="8" t="s">
        <v>46</v>
      </c>
      <c r="B410" s="9">
        <v>6</v>
      </c>
      <c r="C410" s="9">
        <v>0.875</v>
      </c>
      <c r="D410" s="9">
        <v>0.85714285714285698</v>
      </c>
      <c r="E410" s="9"/>
      <c r="F410" s="9"/>
      <c r="G410" s="9">
        <v>1.7899999999999999E-2</v>
      </c>
      <c r="H410" s="9">
        <v>1.02</v>
      </c>
      <c r="I410" s="9">
        <v>0.86</v>
      </c>
      <c r="J410" s="9">
        <v>10.6592</v>
      </c>
      <c r="K410" s="9">
        <v>5.9607000000000001</v>
      </c>
      <c r="L410" s="9">
        <v>4.6985000000000001</v>
      </c>
    </row>
    <row r="411" spans="1:12" x14ac:dyDescent="0.2">
      <c r="A411" s="8" t="s">
        <v>46</v>
      </c>
      <c r="B411" s="9">
        <v>7</v>
      </c>
      <c r="C411" s="9">
        <v>0.875</v>
      </c>
      <c r="D411" s="9">
        <v>0.85714285714285698</v>
      </c>
      <c r="E411" s="9"/>
      <c r="F411" s="9"/>
      <c r="G411" s="9">
        <v>1.7899999999999999E-2</v>
      </c>
      <c r="H411" s="9">
        <v>0.95</v>
      </c>
      <c r="I411" s="9">
        <v>0.81</v>
      </c>
      <c r="J411" s="9">
        <v>11.5708</v>
      </c>
      <c r="K411" s="9">
        <v>6.9424999999999999</v>
      </c>
      <c r="L411" s="9">
        <v>4.6283000000000003</v>
      </c>
    </row>
    <row r="412" spans="1:12" x14ac:dyDescent="0.2">
      <c r="A412" s="8" t="s">
        <v>46</v>
      </c>
      <c r="B412" s="9">
        <v>8</v>
      </c>
      <c r="C412" s="9">
        <v>0.875</v>
      </c>
      <c r="D412" s="9">
        <v>0.85714285714285698</v>
      </c>
      <c r="E412" s="9"/>
      <c r="F412" s="9"/>
      <c r="G412" s="9">
        <v>1.7899999999999999E-2</v>
      </c>
      <c r="H412" s="9">
        <v>1.1200000000000001</v>
      </c>
      <c r="I412" s="9">
        <v>0.96</v>
      </c>
      <c r="J412" s="9">
        <v>12.6227</v>
      </c>
      <c r="K412" s="9">
        <v>7.9943999999999997</v>
      </c>
      <c r="L412" s="9">
        <v>4.6283000000000003</v>
      </c>
    </row>
    <row r="413" spans="1:12" x14ac:dyDescent="0.2">
      <c r="A413" s="8" t="s">
        <v>46</v>
      </c>
      <c r="B413" s="9">
        <v>9</v>
      </c>
      <c r="C413" s="9">
        <v>0.875</v>
      </c>
      <c r="D413" s="9">
        <v>0.8</v>
      </c>
      <c r="E413" s="9"/>
      <c r="F413" s="9"/>
      <c r="G413" s="9">
        <v>7.4999999999999997E-2</v>
      </c>
      <c r="H413" s="9">
        <v>1.18</v>
      </c>
      <c r="I413" s="9">
        <v>1.04</v>
      </c>
      <c r="J413" s="9">
        <v>13.5344</v>
      </c>
      <c r="K413" s="9">
        <v>8.9762000000000004</v>
      </c>
      <c r="L413" s="9">
        <v>4.5582000000000003</v>
      </c>
    </row>
    <row r="414" spans="1:12" x14ac:dyDescent="0.2">
      <c r="A414" s="8" t="s">
        <v>46</v>
      </c>
      <c r="B414" s="9">
        <v>10</v>
      </c>
      <c r="C414" s="9">
        <v>0.82352941176470595</v>
      </c>
      <c r="D414" s="9">
        <v>0.85714285714285698</v>
      </c>
      <c r="E414" s="9"/>
      <c r="F414" s="9"/>
      <c r="G414" s="9">
        <v>-3.3599999999999998E-2</v>
      </c>
      <c r="H414" s="9">
        <v>1.0900000000000001</v>
      </c>
      <c r="I414" s="9">
        <v>1</v>
      </c>
      <c r="J414" s="9">
        <v>14.446</v>
      </c>
      <c r="K414" s="9">
        <v>9.9579000000000004</v>
      </c>
      <c r="L414" s="9">
        <v>4.4881000000000002</v>
      </c>
    </row>
    <row r="415" spans="1:12" x14ac:dyDescent="0.2">
      <c r="A415" s="8" t="s">
        <v>47</v>
      </c>
      <c r="B415" s="9">
        <v>1</v>
      </c>
      <c r="C415" s="9">
        <v>1</v>
      </c>
      <c r="D415" s="9">
        <v>1</v>
      </c>
      <c r="E415" s="9"/>
      <c r="F415" s="9"/>
      <c r="G415" s="9">
        <v>0</v>
      </c>
      <c r="H415" s="9">
        <v>0.54</v>
      </c>
      <c r="I415" s="9">
        <v>0.61</v>
      </c>
      <c r="J415" s="9">
        <v>10.3704</v>
      </c>
      <c r="K415" s="9">
        <v>5.5556000000000001</v>
      </c>
      <c r="L415" s="9">
        <v>4.8148</v>
      </c>
    </row>
    <row r="416" spans="1:12" x14ac:dyDescent="0.2">
      <c r="A416" s="8" t="s">
        <v>47</v>
      </c>
      <c r="B416" s="9">
        <v>2</v>
      </c>
      <c r="C416" s="9">
        <v>1</v>
      </c>
      <c r="D416" s="9">
        <v>1</v>
      </c>
      <c r="E416" s="9"/>
      <c r="F416" s="9"/>
      <c r="G416" s="9">
        <v>0</v>
      </c>
      <c r="H416" s="9">
        <v>0.47</v>
      </c>
      <c r="I416" s="9">
        <v>0.4</v>
      </c>
      <c r="J416" s="9">
        <v>10.3704</v>
      </c>
      <c r="K416" s="9">
        <v>5.5556000000000001</v>
      </c>
      <c r="L416" s="9">
        <v>4.8148</v>
      </c>
    </row>
    <row r="417" spans="1:12" x14ac:dyDescent="0.2">
      <c r="A417" s="8" t="s">
        <v>47</v>
      </c>
      <c r="B417" s="9">
        <v>3</v>
      </c>
      <c r="C417" s="9">
        <v>1</v>
      </c>
      <c r="D417" s="9">
        <v>1</v>
      </c>
      <c r="E417" s="9"/>
      <c r="F417" s="9"/>
      <c r="G417" s="9">
        <v>0</v>
      </c>
      <c r="H417" s="9">
        <v>0.49</v>
      </c>
      <c r="I417" s="9">
        <v>0.44</v>
      </c>
      <c r="J417" s="9">
        <v>10.3704</v>
      </c>
      <c r="K417" s="9">
        <v>5.5556000000000001</v>
      </c>
      <c r="L417" s="9">
        <v>4.8148</v>
      </c>
    </row>
    <row r="418" spans="1:12" x14ac:dyDescent="0.2">
      <c r="A418" s="8" t="s">
        <v>47</v>
      </c>
      <c r="B418" s="9">
        <v>4</v>
      </c>
      <c r="C418" s="9">
        <v>1</v>
      </c>
      <c r="D418" s="9">
        <v>1</v>
      </c>
      <c r="E418" s="9"/>
      <c r="F418" s="9"/>
      <c r="G418" s="9">
        <v>0</v>
      </c>
      <c r="H418" s="9">
        <v>0.46</v>
      </c>
      <c r="I418" s="9">
        <v>0.43</v>
      </c>
      <c r="J418" s="9">
        <v>10.3704</v>
      </c>
      <c r="K418" s="9">
        <v>5.5556000000000001</v>
      </c>
      <c r="L418" s="9">
        <v>4.8148</v>
      </c>
    </row>
    <row r="419" spans="1:12" x14ac:dyDescent="0.2">
      <c r="A419" s="8" t="s">
        <v>47</v>
      </c>
      <c r="B419" s="9">
        <v>5</v>
      </c>
      <c r="C419" s="9">
        <v>1</v>
      </c>
      <c r="D419" s="9">
        <v>1</v>
      </c>
      <c r="E419" s="9"/>
      <c r="F419" s="9"/>
      <c r="G419" s="9">
        <v>0</v>
      </c>
      <c r="H419" s="9">
        <v>0.47</v>
      </c>
      <c r="I419" s="9">
        <v>0.44</v>
      </c>
      <c r="J419" s="9">
        <v>10.3704</v>
      </c>
      <c r="K419" s="9">
        <v>5.5556000000000001</v>
      </c>
      <c r="L419" s="9">
        <v>4.8148</v>
      </c>
    </row>
    <row r="420" spans="1:12" x14ac:dyDescent="0.2">
      <c r="A420" s="8" t="s">
        <v>47</v>
      </c>
      <c r="B420" s="9">
        <v>6</v>
      </c>
      <c r="C420" s="9">
        <v>1</v>
      </c>
      <c r="D420" s="9">
        <v>0.76190476190476197</v>
      </c>
      <c r="E420" s="9"/>
      <c r="F420" s="9"/>
      <c r="G420" s="9">
        <v>0.23810000000000001</v>
      </c>
      <c r="H420" s="9">
        <v>0.52</v>
      </c>
      <c r="I420" s="9">
        <v>0.46</v>
      </c>
      <c r="J420" s="9">
        <v>10.7407</v>
      </c>
      <c r="K420" s="9">
        <v>5.9259000000000004</v>
      </c>
      <c r="L420" s="9">
        <v>4.8148</v>
      </c>
    </row>
    <row r="421" spans="1:12" x14ac:dyDescent="0.2">
      <c r="A421" s="8" t="s">
        <v>47</v>
      </c>
      <c r="B421" s="9">
        <v>7</v>
      </c>
      <c r="C421" s="9">
        <v>0.94117647058823495</v>
      </c>
      <c r="D421" s="9">
        <v>1</v>
      </c>
      <c r="E421" s="9"/>
      <c r="F421" s="9"/>
      <c r="G421" s="9">
        <v>-5.8799999999999998E-2</v>
      </c>
      <c r="H421" s="9">
        <v>0.51</v>
      </c>
      <c r="I421" s="9">
        <v>0.49</v>
      </c>
      <c r="J421" s="9">
        <v>11.4815</v>
      </c>
      <c r="K421" s="9">
        <v>6.6666999999999996</v>
      </c>
      <c r="L421" s="9">
        <v>4.8148</v>
      </c>
    </row>
    <row r="422" spans="1:12" x14ac:dyDescent="0.2">
      <c r="A422" s="8" t="s">
        <v>47</v>
      </c>
      <c r="B422" s="9">
        <v>8</v>
      </c>
      <c r="C422" s="9">
        <v>1</v>
      </c>
      <c r="D422" s="9">
        <v>0.88888888888888895</v>
      </c>
      <c r="E422" s="9"/>
      <c r="F422" s="9"/>
      <c r="G422" s="9">
        <v>0.1111</v>
      </c>
      <c r="H422" s="9">
        <v>0.57999999999999996</v>
      </c>
      <c r="I422" s="9">
        <v>0.61</v>
      </c>
      <c r="J422" s="9">
        <v>12.222200000000001</v>
      </c>
      <c r="K422" s="9">
        <v>7.7778</v>
      </c>
      <c r="L422" s="9">
        <v>4.4443999999999999</v>
      </c>
    </row>
    <row r="423" spans="1:12" x14ac:dyDescent="0.2">
      <c r="A423" s="8" t="s">
        <v>47</v>
      </c>
      <c r="B423" s="9">
        <v>9</v>
      </c>
      <c r="C423" s="9">
        <v>1</v>
      </c>
      <c r="D423" s="9">
        <v>1</v>
      </c>
      <c r="E423" s="9"/>
      <c r="F423" s="9"/>
      <c r="G423" s="9">
        <v>0</v>
      </c>
      <c r="H423" s="9">
        <v>0.59</v>
      </c>
      <c r="I423" s="9">
        <v>0.57999999999999996</v>
      </c>
      <c r="J423" s="9">
        <v>13.333299999999999</v>
      </c>
      <c r="K423" s="9">
        <v>8.8888999999999996</v>
      </c>
      <c r="L423" s="9">
        <v>4.4443999999999999</v>
      </c>
    </row>
    <row r="424" spans="1:12" x14ac:dyDescent="0.2">
      <c r="A424" s="8" t="s">
        <v>47</v>
      </c>
      <c r="B424" s="9">
        <v>10</v>
      </c>
      <c r="C424" s="9">
        <v>1</v>
      </c>
      <c r="D424" s="9">
        <v>1</v>
      </c>
      <c r="E424" s="9"/>
      <c r="F424" s="9"/>
      <c r="G424" s="9">
        <v>0</v>
      </c>
      <c r="H424" s="9">
        <v>0.56000000000000005</v>
      </c>
      <c r="I424" s="9">
        <v>0.61</v>
      </c>
      <c r="J424" s="9">
        <v>14.4444</v>
      </c>
      <c r="K424" s="9">
        <v>10</v>
      </c>
      <c r="L424" s="9">
        <v>4.4443999999999999</v>
      </c>
    </row>
    <row r="425" spans="1:12" x14ac:dyDescent="0.2">
      <c r="A425" s="8" t="s">
        <v>48</v>
      </c>
      <c r="B425" s="9">
        <v>1</v>
      </c>
      <c r="C425" s="9">
        <v>0.26415094339622602</v>
      </c>
      <c r="D425" s="9">
        <v>0.269230769230769</v>
      </c>
      <c r="E425" s="9"/>
      <c r="F425" s="9"/>
      <c r="G425" s="9">
        <v>-5.1000000000000004E-3</v>
      </c>
      <c r="H425" s="9">
        <v>0.54</v>
      </c>
      <c r="I425" s="9">
        <v>0.56000000000000005</v>
      </c>
      <c r="J425" s="9">
        <v>5.9817</v>
      </c>
      <c r="K425" s="9">
        <v>1.0556000000000001</v>
      </c>
      <c r="L425" s="9">
        <v>4.9260999999999999</v>
      </c>
    </row>
    <row r="426" spans="1:12" x14ac:dyDescent="0.2">
      <c r="A426" s="8" t="s">
        <v>48</v>
      </c>
      <c r="B426" s="9">
        <v>2</v>
      </c>
      <c r="C426" s="9">
        <v>0.72727272727272696</v>
      </c>
      <c r="D426" s="9">
        <v>0.66666666666666696</v>
      </c>
      <c r="E426" s="9"/>
      <c r="F426" s="9"/>
      <c r="G426" s="9">
        <v>6.0600000000000001E-2</v>
      </c>
      <c r="H426" s="9">
        <v>0.64</v>
      </c>
      <c r="I426" s="9">
        <v>0.56000000000000005</v>
      </c>
      <c r="J426" s="9">
        <v>6.8966000000000003</v>
      </c>
      <c r="K426" s="9">
        <v>1.9703999999999999</v>
      </c>
      <c r="L426" s="9">
        <v>4.9261999999999997</v>
      </c>
    </row>
    <row r="427" spans="1:12" x14ac:dyDescent="0.2">
      <c r="A427" s="8" t="s">
        <v>48</v>
      </c>
      <c r="B427" s="9">
        <v>3</v>
      </c>
      <c r="C427" s="9">
        <v>0.66666666666666696</v>
      </c>
      <c r="D427" s="9">
        <v>0.66666666666666696</v>
      </c>
      <c r="E427" s="9"/>
      <c r="F427" s="9"/>
      <c r="G427" s="9">
        <v>0</v>
      </c>
      <c r="H427" s="9">
        <v>0.72</v>
      </c>
      <c r="I427" s="9">
        <v>0.67</v>
      </c>
      <c r="J427" s="9">
        <v>7.8113999999999999</v>
      </c>
      <c r="K427" s="9">
        <v>2.9557000000000002</v>
      </c>
      <c r="L427" s="9">
        <v>4.8556999999999997</v>
      </c>
    </row>
    <row r="428" spans="1:12" x14ac:dyDescent="0.2">
      <c r="A428" s="8" t="s">
        <v>48</v>
      </c>
      <c r="B428" s="9">
        <v>4</v>
      </c>
      <c r="C428" s="9">
        <v>0.63636363636363602</v>
      </c>
      <c r="D428" s="9">
        <v>0.66666666666666696</v>
      </c>
      <c r="E428" s="9"/>
      <c r="F428" s="9"/>
      <c r="G428" s="9">
        <v>-3.0300000000000001E-2</v>
      </c>
      <c r="H428" s="9">
        <v>0.72</v>
      </c>
      <c r="I428" s="9">
        <v>0.69</v>
      </c>
      <c r="J428" s="9">
        <v>8.7262000000000004</v>
      </c>
      <c r="K428" s="9">
        <v>3.9409000000000001</v>
      </c>
      <c r="L428" s="9">
        <v>4.7853000000000003</v>
      </c>
    </row>
    <row r="429" spans="1:12" x14ac:dyDescent="0.2">
      <c r="A429" s="8" t="s">
        <v>48</v>
      </c>
      <c r="B429" s="9">
        <v>5</v>
      </c>
      <c r="C429" s="9">
        <v>0.66666666666666696</v>
      </c>
      <c r="D429" s="9">
        <v>0.63636363636363602</v>
      </c>
      <c r="E429" s="9"/>
      <c r="F429" s="9"/>
      <c r="G429" s="9">
        <v>3.0300000000000001E-2</v>
      </c>
      <c r="H429" s="9">
        <v>0.65</v>
      </c>
      <c r="I429" s="9">
        <v>0.7</v>
      </c>
      <c r="J429" s="9">
        <v>9.7818000000000005</v>
      </c>
      <c r="K429" s="9">
        <v>4.9965000000000002</v>
      </c>
      <c r="L429" s="9">
        <v>4.7853000000000003</v>
      </c>
    </row>
    <row r="430" spans="1:12" x14ac:dyDescent="0.2">
      <c r="A430" s="8" t="s">
        <v>48</v>
      </c>
      <c r="B430" s="9">
        <v>6</v>
      </c>
      <c r="C430" s="9">
        <v>0.69565217391304401</v>
      </c>
      <c r="D430" s="9">
        <v>0.63636363636363602</v>
      </c>
      <c r="E430" s="9"/>
      <c r="F430" s="9"/>
      <c r="G430" s="9">
        <v>5.9299999999999999E-2</v>
      </c>
      <c r="H430" s="9">
        <v>0.7</v>
      </c>
      <c r="I430" s="9">
        <v>0.78</v>
      </c>
      <c r="J430" s="9">
        <v>10.6967</v>
      </c>
      <c r="K430" s="9">
        <v>5.9817</v>
      </c>
      <c r="L430" s="9">
        <v>4.7149999999999999</v>
      </c>
    </row>
    <row r="431" spans="1:12" x14ac:dyDescent="0.2">
      <c r="A431" s="8" t="s">
        <v>48</v>
      </c>
      <c r="B431" s="9">
        <v>7</v>
      </c>
      <c r="C431" s="9">
        <v>0.72727272727272696</v>
      </c>
      <c r="D431" s="9">
        <v>0.66666666666666696</v>
      </c>
      <c r="E431" s="9"/>
      <c r="F431" s="9"/>
      <c r="G431" s="9">
        <v>6.0600000000000001E-2</v>
      </c>
      <c r="H431" s="9">
        <v>0.79</v>
      </c>
      <c r="I431" s="9">
        <v>0.77</v>
      </c>
      <c r="J431" s="9">
        <v>11.611499999999999</v>
      </c>
      <c r="K431" s="9">
        <v>6.9668999999999999</v>
      </c>
      <c r="L431" s="9">
        <v>4.6445999999999996</v>
      </c>
    </row>
    <row r="432" spans="1:12" x14ac:dyDescent="0.2">
      <c r="A432" s="8" t="s">
        <v>48</v>
      </c>
      <c r="B432" s="9">
        <v>8</v>
      </c>
      <c r="C432" s="9">
        <v>0.69565217391304401</v>
      </c>
      <c r="D432" s="9">
        <v>0.66666666666666696</v>
      </c>
      <c r="E432" s="9"/>
      <c r="F432" s="9"/>
      <c r="G432" s="9">
        <v>2.9000000000000001E-2</v>
      </c>
      <c r="H432" s="9">
        <v>0.81</v>
      </c>
      <c r="I432" s="9">
        <v>0.73</v>
      </c>
      <c r="J432" s="9">
        <v>12.526400000000001</v>
      </c>
      <c r="K432" s="9">
        <v>7.9520999999999997</v>
      </c>
      <c r="L432" s="9">
        <v>4.5743</v>
      </c>
    </row>
    <row r="433" spans="1:12" x14ac:dyDescent="0.2">
      <c r="A433" s="8" t="s">
        <v>48</v>
      </c>
      <c r="B433" s="9">
        <v>9</v>
      </c>
      <c r="C433" s="9">
        <v>0.72727272727272696</v>
      </c>
      <c r="D433" s="9">
        <v>0.66666666666666696</v>
      </c>
      <c r="E433" s="9"/>
      <c r="F433" s="9"/>
      <c r="G433" s="9">
        <v>6.0600000000000001E-2</v>
      </c>
      <c r="H433" s="9">
        <v>0.82</v>
      </c>
      <c r="I433" s="9">
        <v>0.79</v>
      </c>
      <c r="J433" s="9">
        <v>13.5116</v>
      </c>
      <c r="K433" s="9">
        <v>8.9374000000000002</v>
      </c>
      <c r="L433" s="9">
        <v>4.5742000000000003</v>
      </c>
    </row>
    <row r="434" spans="1:12" x14ac:dyDescent="0.2">
      <c r="A434" s="8" t="s">
        <v>48</v>
      </c>
      <c r="B434" s="9">
        <v>10</v>
      </c>
      <c r="C434" s="9">
        <v>0.66666666666666696</v>
      </c>
      <c r="D434" s="9">
        <v>0.63636363636363602</v>
      </c>
      <c r="E434" s="9"/>
      <c r="F434" s="9"/>
      <c r="G434" s="9">
        <v>3.0300000000000001E-2</v>
      </c>
      <c r="H434" s="9">
        <v>0.86</v>
      </c>
      <c r="I434" s="9">
        <v>0.79</v>
      </c>
      <c r="J434" s="9">
        <v>14.4968</v>
      </c>
      <c r="K434" s="9">
        <v>9.9930000000000003</v>
      </c>
      <c r="L434" s="9">
        <v>4.5038</v>
      </c>
    </row>
    <row r="435" spans="1:12" x14ac:dyDescent="0.2">
      <c r="A435" s="8" t="s">
        <v>33</v>
      </c>
      <c r="B435" s="9">
        <v>2</v>
      </c>
      <c r="C435" s="9">
        <v>0</v>
      </c>
      <c r="D435" s="9">
        <v>0</v>
      </c>
      <c r="E435" s="9"/>
      <c r="F435" s="9"/>
      <c r="G435" s="9">
        <v>0</v>
      </c>
      <c r="H435" s="9">
        <v>0.86</v>
      </c>
      <c r="I435" s="9">
        <v>2.27</v>
      </c>
      <c r="J435" s="9">
        <v>2</v>
      </c>
      <c r="K435" s="9">
        <v>2</v>
      </c>
      <c r="L435" s="9">
        <v>0</v>
      </c>
    </row>
    <row r="436" spans="1:12" x14ac:dyDescent="0.2">
      <c r="A436" s="8" t="s">
        <v>33</v>
      </c>
      <c r="B436" s="9">
        <v>4</v>
      </c>
      <c r="C436" s="9">
        <v>0</v>
      </c>
      <c r="D436" s="9">
        <v>0</v>
      </c>
      <c r="E436" s="9"/>
      <c r="F436" s="9"/>
      <c r="G436" s="9">
        <v>0</v>
      </c>
      <c r="H436" s="9">
        <v>1.18</v>
      </c>
      <c r="I436" s="9">
        <v>1.98</v>
      </c>
      <c r="J436" s="9">
        <v>4</v>
      </c>
      <c r="K436" s="9">
        <v>4</v>
      </c>
      <c r="L436" s="9">
        <v>0</v>
      </c>
    </row>
    <row r="437" spans="1:12" x14ac:dyDescent="0.2">
      <c r="A437" s="8" t="s">
        <v>33</v>
      </c>
      <c r="B437" s="9">
        <v>6</v>
      </c>
      <c r="C437" s="9">
        <v>0</v>
      </c>
      <c r="D437" s="9">
        <v>0</v>
      </c>
      <c r="E437" s="9"/>
      <c r="F437" s="9"/>
      <c r="G437" s="9">
        <v>0</v>
      </c>
      <c r="H437" s="9">
        <v>1.37</v>
      </c>
      <c r="I437" s="9">
        <v>2.2200000000000002</v>
      </c>
      <c r="J437" s="9">
        <v>6</v>
      </c>
      <c r="K437" s="9">
        <v>6</v>
      </c>
      <c r="L437" s="9">
        <v>0</v>
      </c>
    </row>
    <row r="438" spans="1:12" x14ac:dyDescent="0.2">
      <c r="A438" s="8" t="s">
        <v>33</v>
      </c>
      <c r="B438" s="9">
        <v>8</v>
      </c>
      <c r="C438" s="9">
        <v>0</v>
      </c>
      <c r="D438" s="9">
        <v>0</v>
      </c>
      <c r="E438" s="9"/>
      <c r="F438" s="9"/>
      <c r="G438" s="9">
        <v>0</v>
      </c>
      <c r="H438" s="9">
        <v>1.56</v>
      </c>
      <c r="I438" s="9">
        <v>2.68</v>
      </c>
      <c r="J438" s="9">
        <v>8</v>
      </c>
      <c r="K438" s="9">
        <v>8</v>
      </c>
      <c r="L438" s="9">
        <v>0</v>
      </c>
    </row>
    <row r="439" spans="1:12" x14ac:dyDescent="0.2">
      <c r="A439" s="8" t="s">
        <v>33</v>
      </c>
      <c r="B439" s="9">
        <v>10</v>
      </c>
      <c r="C439" s="9">
        <v>0</v>
      </c>
      <c r="D439" s="9">
        <v>0</v>
      </c>
      <c r="E439" s="9"/>
      <c r="F439" s="9"/>
      <c r="G439" s="9">
        <v>0</v>
      </c>
      <c r="H439" s="9">
        <v>1.66</v>
      </c>
      <c r="I439" s="9">
        <v>3.06</v>
      </c>
      <c r="J439" s="9">
        <v>10</v>
      </c>
      <c r="K439" s="9">
        <v>10</v>
      </c>
      <c r="L439" s="9">
        <v>0</v>
      </c>
    </row>
    <row r="440" spans="1:12" x14ac:dyDescent="0.2">
      <c r="A440" s="8" t="s">
        <v>33</v>
      </c>
      <c r="B440" s="9">
        <v>12</v>
      </c>
      <c r="C440" s="9">
        <v>0</v>
      </c>
      <c r="D440" s="9">
        <v>0</v>
      </c>
      <c r="E440" s="9"/>
      <c r="F440" s="9"/>
      <c r="G440" s="9">
        <v>0</v>
      </c>
      <c r="H440" s="9">
        <v>1.96</v>
      </c>
      <c r="I440" s="9">
        <v>3.2</v>
      </c>
      <c r="J440" s="9">
        <v>12</v>
      </c>
      <c r="K440" s="9">
        <v>12</v>
      </c>
      <c r="L440" s="9">
        <v>0</v>
      </c>
    </row>
    <row r="441" spans="1:12" x14ac:dyDescent="0.2">
      <c r="A441" s="8" t="s">
        <v>33</v>
      </c>
      <c r="B441" s="9">
        <v>14</v>
      </c>
      <c r="C441" s="9">
        <v>1</v>
      </c>
      <c r="D441" s="9">
        <v>1</v>
      </c>
      <c r="E441" s="9"/>
      <c r="F441" s="9"/>
      <c r="G441" s="9">
        <v>0</v>
      </c>
      <c r="H441" s="9">
        <v>2.68</v>
      </c>
      <c r="I441" s="9">
        <v>3.48</v>
      </c>
      <c r="J441" s="9">
        <v>18.307700000000001</v>
      </c>
      <c r="K441" s="9">
        <v>14</v>
      </c>
      <c r="L441" s="9">
        <v>4.3076999999999996</v>
      </c>
    </row>
    <row r="442" spans="1:12" x14ac:dyDescent="0.2">
      <c r="A442" s="8" t="s">
        <v>33</v>
      </c>
      <c r="B442" s="9">
        <v>16</v>
      </c>
      <c r="C442" s="9">
        <v>1</v>
      </c>
      <c r="D442" s="9">
        <v>1</v>
      </c>
      <c r="E442" s="9"/>
      <c r="F442" s="9"/>
      <c r="G442" s="9">
        <v>0</v>
      </c>
      <c r="H442" s="9">
        <v>5.33</v>
      </c>
      <c r="I442" s="9">
        <v>3.62</v>
      </c>
      <c r="J442" s="9">
        <v>20.192299999999999</v>
      </c>
      <c r="K442" s="9">
        <v>16</v>
      </c>
      <c r="L442" s="9">
        <v>4.1923000000000004</v>
      </c>
    </row>
    <row r="443" spans="1:12" x14ac:dyDescent="0.2">
      <c r="A443" s="8" t="s">
        <v>33</v>
      </c>
      <c r="B443" s="9">
        <v>18</v>
      </c>
      <c r="C443" s="9">
        <v>1</v>
      </c>
      <c r="D443" s="9">
        <v>1</v>
      </c>
      <c r="E443" s="9"/>
      <c r="F443" s="9"/>
      <c r="G443" s="9">
        <v>0</v>
      </c>
      <c r="H443" s="9">
        <v>5.47</v>
      </c>
      <c r="I443" s="9">
        <v>3.58</v>
      </c>
      <c r="J443" s="9">
        <v>22.115400000000001</v>
      </c>
      <c r="K443" s="9">
        <v>18</v>
      </c>
      <c r="L443" s="9">
        <v>4.1154000000000002</v>
      </c>
    </row>
    <row r="444" spans="1:12" x14ac:dyDescent="0.2">
      <c r="A444" s="8" t="s">
        <v>33</v>
      </c>
      <c r="B444" s="9">
        <v>20</v>
      </c>
      <c r="C444" s="9">
        <v>1</v>
      </c>
      <c r="D444" s="9">
        <v>1</v>
      </c>
      <c r="E444" s="9"/>
      <c r="F444" s="9"/>
      <c r="G444" s="9">
        <v>0</v>
      </c>
      <c r="H444" s="9">
        <v>5.78</v>
      </c>
      <c r="I444" s="9">
        <v>3.78</v>
      </c>
      <c r="J444" s="9">
        <v>24</v>
      </c>
      <c r="K444" s="9">
        <v>20</v>
      </c>
      <c r="L444" s="9">
        <v>4</v>
      </c>
    </row>
    <row r="445" spans="1:12" x14ac:dyDescent="0.2">
      <c r="A445" s="8" t="s">
        <v>34</v>
      </c>
      <c r="B445" s="9">
        <v>1</v>
      </c>
      <c r="C445" s="9">
        <v>0.76923076923076905</v>
      </c>
      <c r="D445" s="9">
        <v>0.83333333333333304</v>
      </c>
      <c r="E445" s="9"/>
      <c r="F445" s="9"/>
      <c r="G445" s="9">
        <v>-6.4100000000000004E-2</v>
      </c>
      <c r="H445" s="9">
        <v>33.479999999999997</v>
      </c>
      <c r="I445" s="9">
        <v>8.74</v>
      </c>
      <c r="J445" s="9">
        <v>5.9481000000000002</v>
      </c>
      <c r="K445" s="9">
        <v>1</v>
      </c>
      <c r="L445" s="9">
        <v>4.9481000000000002</v>
      </c>
    </row>
    <row r="446" spans="1:12" x14ac:dyDescent="0.2">
      <c r="A446" s="8" t="s">
        <v>34</v>
      </c>
      <c r="B446" s="9">
        <v>2</v>
      </c>
      <c r="C446" s="9">
        <v>0.76923076923076905</v>
      </c>
      <c r="D446" s="9">
        <v>0.83333333333333304</v>
      </c>
      <c r="E446" s="9"/>
      <c r="F446" s="9"/>
      <c r="G446" s="9">
        <v>-6.4100000000000004E-2</v>
      </c>
      <c r="H446" s="9">
        <v>36.9</v>
      </c>
      <c r="I446" s="9">
        <v>11.24</v>
      </c>
      <c r="J446" s="9">
        <v>6.9</v>
      </c>
      <c r="K446" s="9">
        <v>2</v>
      </c>
      <c r="L446" s="9">
        <v>4.9000000000000004</v>
      </c>
    </row>
    <row r="447" spans="1:12" x14ac:dyDescent="0.2">
      <c r="A447" s="8" t="s">
        <v>34</v>
      </c>
      <c r="B447" s="9">
        <v>3</v>
      </c>
      <c r="C447" s="9">
        <v>0.76923076923076905</v>
      </c>
      <c r="D447" s="9">
        <v>0.83333333333333304</v>
      </c>
      <c r="E447" s="9"/>
      <c r="F447" s="9"/>
      <c r="G447" s="9">
        <v>-6.4100000000000004E-2</v>
      </c>
      <c r="H447" s="9">
        <v>50.65</v>
      </c>
      <c r="I447" s="9">
        <v>13.93</v>
      </c>
      <c r="J447" s="9">
        <v>7.8518999999999997</v>
      </c>
      <c r="K447" s="9">
        <v>3</v>
      </c>
      <c r="L447" s="9">
        <v>4.8518999999999997</v>
      </c>
    </row>
    <row r="448" spans="1:12" x14ac:dyDescent="0.2">
      <c r="A448" s="8" t="s">
        <v>34</v>
      </c>
      <c r="B448" s="9">
        <v>4</v>
      </c>
      <c r="C448" s="9">
        <v>0.76923076923076905</v>
      </c>
      <c r="D448" s="9">
        <v>0.83333333333333304</v>
      </c>
      <c r="E448" s="9"/>
      <c r="F448" s="9"/>
      <c r="G448" s="9">
        <v>-6.4100000000000004E-2</v>
      </c>
      <c r="H448" s="9">
        <v>59.04</v>
      </c>
      <c r="I448" s="9">
        <v>17.54</v>
      </c>
      <c r="J448" s="9">
        <v>8.8000000000000007</v>
      </c>
      <c r="K448" s="9">
        <v>4</v>
      </c>
      <c r="L448" s="9">
        <v>4.8</v>
      </c>
    </row>
    <row r="449" spans="1:13" x14ac:dyDescent="0.2">
      <c r="A449" s="8" t="s">
        <v>34</v>
      </c>
      <c r="B449" s="9">
        <v>5</v>
      </c>
      <c r="C449" s="9">
        <v>0.71428571428571397</v>
      </c>
      <c r="D449" s="9">
        <v>0.83333333333333304</v>
      </c>
      <c r="E449" s="9"/>
      <c r="F449" s="9"/>
      <c r="G449" s="9">
        <v>-0.11899999999999999</v>
      </c>
      <c r="H449" s="9">
        <v>63.45</v>
      </c>
      <c r="I449" s="9">
        <v>21.76</v>
      </c>
      <c r="J449" s="9">
        <v>9.7481000000000009</v>
      </c>
      <c r="K449" s="9">
        <v>5</v>
      </c>
      <c r="L449" s="9">
        <v>4.7481</v>
      </c>
    </row>
    <row r="450" spans="1:13" x14ac:dyDescent="0.2">
      <c r="A450" s="8" t="s">
        <v>34</v>
      </c>
      <c r="B450" s="9">
        <v>6</v>
      </c>
      <c r="C450" s="9">
        <v>0.76923076923076905</v>
      </c>
      <c r="D450" s="9">
        <v>0.83333333333333304</v>
      </c>
      <c r="E450" s="9"/>
      <c r="F450" s="9"/>
      <c r="G450" s="9">
        <v>-6.4100000000000004E-2</v>
      </c>
      <c r="H450" s="9">
        <v>72.72</v>
      </c>
      <c r="I450" s="9">
        <v>24.9</v>
      </c>
      <c r="J450" s="9">
        <v>10.7</v>
      </c>
      <c r="K450" s="9">
        <v>6</v>
      </c>
      <c r="L450" s="9">
        <v>4.7</v>
      </c>
    </row>
    <row r="451" spans="1:13" x14ac:dyDescent="0.2">
      <c r="A451" s="8" t="s">
        <v>34</v>
      </c>
      <c r="B451" s="9">
        <v>7</v>
      </c>
      <c r="C451" s="9">
        <v>0.76923076923076905</v>
      </c>
      <c r="D451" s="9">
        <v>0.83333333333333304</v>
      </c>
      <c r="E451" s="9"/>
      <c r="F451" s="9"/>
      <c r="G451" s="9">
        <v>-6.4100000000000004E-2</v>
      </c>
      <c r="H451" s="9">
        <v>78.8</v>
      </c>
      <c r="I451" s="9">
        <v>31.04</v>
      </c>
      <c r="J451" s="9">
        <v>11.651899999999999</v>
      </c>
      <c r="K451" s="9">
        <v>7</v>
      </c>
      <c r="L451" s="9">
        <v>4.6519000000000004</v>
      </c>
    </row>
    <row r="452" spans="1:13" x14ac:dyDescent="0.2">
      <c r="A452" s="8" t="s">
        <v>34</v>
      </c>
      <c r="B452" s="9">
        <v>8</v>
      </c>
      <c r="C452" s="9">
        <v>0.76923076923076905</v>
      </c>
      <c r="D452" s="9">
        <v>0.83333333333333304</v>
      </c>
      <c r="E452" s="9"/>
      <c r="F452" s="9"/>
      <c r="G452" s="9">
        <v>-6.4100000000000004E-2</v>
      </c>
      <c r="H452" s="9">
        <v>83.94</v>
      </c>
      <c r="I452" s="9">
        <v>56.04</v>
      </c>
      <c r="J452" s="9">
        <v>12.6</v>
      </c>
      <c r="K452" s="9">
        <v>8</v>
      </c>
      <c r="L452" s="9">
        <v>4.5999999999999996</v>
      </c>
    </row>
    <row r="453" spans="1:13" x14ac:dyDescent="0.2">
      <c r="A453" s="8" t="s">
        <v>34</v>
      </c>
      <c r="B453" s="9">
        <v>9</v>
      </c>
      <c r="C453" s="9">
        <v>0.83333333333333304</v>
      </c>
      <c r="D453" s="9">
        <v>0.76923076923076905</v>
      </c>
      <c r="E453" s="9"/>
      <c r="F453" s="9"/>
      <c r="G453" s="9">
        <v>6.4100000000000004E-2</v>
      </c>
      <c r="H453" s="9">
        <v>90.93</v>
      </c>
      <c r="I453" s="9">
        <v>64.709999999999994</v>
      </c>
      <c r="J453" s="9">
        <v>13.5481</v>
      </c>
      <c r="K453" s="9">
        <v>9</v>
      </c>
      <c r="L453" s="9">
        <v>4.5480999999999998</v>
      </c>
    </row>
    <row r="454" spans="1:13" x14ac:dyDescent="0.2">
      <c r="A454" s="8" t="s">
        <v>34</v>
      </c>
      <c r="B454" s="9">
        <v>10</v>
      </c>
      <c r="C454" s="9">
        <v>0.83333333333333304</v>
      </c>
      <c r="D454" s="9">
        <v>0.83333333333333304</v>
      </c>
      <c r="E454" s="9"/>
      <c r="F454" s="9"/>
      <c r="G454" s="9">
        <v>0</v>
      </c>
      <c r="H454" s="9">
        <v>95.96</v>
      </c>
      <c r="I454" s="9">
        <v>71.2</v>
      </c>
      <c r="J454" s="9">
        <v>14.5</v>
      </c>
      <c r="K454" s="9">
        <v>10</v>
      </c>
      <c r="L454" s="9">
        <v>4.5</v>
      </c>
    </row>
    <row r="455" spans="1:13" x14ac:dyDescent="0.2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spans="1:13" x14ac:dyDescent="0.2">
      <c r="B456" s="38" t="s">
        <v>442</v>
      </c>
      <c r="C456" s="39"/>
      <c r="D456" s="39"/>
      <c r="F456" s="7"/>
      <c r="G456" s="38" t="s">
        <v>476</v>
      </c>
      <c r="H456" s="39"/>
      <c r="I456" s="39"/>
      <c r="J456" s="38" t="s">
        <v>477</v>
      </c>
      <c r="K456" s="39"/>
      <c r="L456" s="39"/>
      <c r="M456" s="39"/>
    </row>
    <row r="457" spans="1:13" x14ac:dyDescent="0.2">
      <c r="B457" t="s">
        <v>478</v>
      </c>
      <c r="C457" t="s">
        <v>479</v>
      </c>
      <c r="G457" t="s">
        <v>478</v>
      </c>
      <c r="H457" t="s">
        <v>479</v>
      </c>
      <c r="J457" t="s">
        <v>478</v>
      </c>
      <c r="K457" t="s">
        <v>480</v>
      </c>
      <c r="L457" t="s">
        <v>481</v>
      </c>
      <c r="M457" t="s">
        <v>482</v>
      </c>
    </row>
    <row r="458" spans="1:13" x14ac:dyDescent="0.2">
      <c r="A458" s="8" t="s">
        <v>33</v>
      </c>
      <c r="B458" s="9">
        <v>0.91</v>
      </c>
      <c r="C458" s="9">
        <v>1</v>
      </c>
      <c r="D458" s="9"/>
      <c r="E458" s="9"/>
      <c r="F458" s="9"/>
      <c r="G458" s="9">
        <v>5.9</v>
      </c>
      <c r="H458" s="17">
        <f t="shared" ref="H458:H471" si="2">K458/J458*G458</f>
        <v>7.7542857142857144</v>
      </c>
      <c r="I458" s="17"/>
      <c r="J458" s="9">
        <v>7</v>
      </c>
      <c r="K458" s="9">
        <v>9.1999999999999993</v>
      </c>
      <c r="L458" s="9"/>
      <c r="M458" s="9"/>
    </row>
    <row r="459" spans="1:13" x14ac:dyDescent="0.2">
      <c r="A459" s="8" t="s">
        <v>34</v>
      </c>
      <c r="B459" s="9">
        <v>0.83</v>
      </c>
      <c r="C459">
        <v>0.91</v>
      </c>
      <c r="G459" s="9">
        <v>33.299999999999997</v>
      </c>
      <c r="H459" s="17">
        <f t="shared" si="2"/>
        <v>49.949999999999996</v>
      </c>
      <c r="I459" s="17"/>
      <c r="J459">
        <v>9</v>
      </c>
      <c r="K459">
        <v>13.5</v>
      </c>
      <c r="L459" s="9"/>
    </row>
    <row r="460" spans="1:13" x14ac:dyDescent="0.2">
      <c r="A460" s="8" t="s">
        <v>36</v>
      </c>
      <c r="B460" s="9">
        <v>0.44</v>
      </c>
      <c r="C460">
        <v>0.88</v>
      </c>
      <c r="G460" s="9">
        <v>281</v>
      </c>
      <c r="H460" s="17">
        <f t="shared" si="2"/>
        <v>409.45714285714286</v>
      </c>
      <c r="I460" s="17"/>
      <c r="J460">
        <v>7</v>
      </c>
      <c r="K460">
        <v>10.199999999999999</v>
      </c>
      <c r="L460" s="9"/>
    </row>
    <row r="461" spans="1:13" x14ac:dyDescent="0.2">
      <c r="A461" s="8" t="s">
        <v>37</v>
      </c>
      <c r="B461" s="9">
        <v>0.67</v>
      </c>
      <c r="C461">
        <v>0.67</v>
      </c>
      <c r="G461" s="9">
        <v>492.9</v>
      </c>
      <c r="H461" s="17">
        <f t="shared" si="2"/>
        <v>566.83499999999992</v>
      </c>
      <c r="I461" s="17"/>
      <c r="J461">
        <v>8</v>
      </c>
      <c r="K461">
        <v>9.1999999999999993</v>
      </c>
    </row>
    <row r="462" spans="1:13" x14ac:dyDescent="0.2">
      <c r="A462" s="8" t="s">
        <v>38</v>
      </c>
      <c r="B462" s="9">
        <v>0.36</v>
      </c>
      <c r="C462">
        <v>0.42</v>
      </c>
      <c r="G462" s="9">
        <v>347.9</v>
      </c>
      <c r="H462" s="17">
        <f t="shared" si="2"/>
        <v>568.23666666666668</v>
      </c>
      <c r="I462" s="17"/>
      <c r="J462">
        <v>6</v>
      </c>
      <c r="K462">
        <v>9.8000000000000007</v>
      </c>
    </row>
    <row r="463" spans="1:13" x14ac:dyDescent="0.2">
      <c r="A463" s="8" t="s">
        <v>39</v>
      </c>
      <c r="B463" s="9">
        <v>0.67</v>
      </c>
      <c r="C463">
        <v>0.86</v>
      </c>
      <c r="G463" s="9">
        <v>200.6</v>
      </c>
      <c r="H463" s="17">
        <f t="shared" si="2"/>
        <v>347.70666666666665</v>
      </c>
      <c r="I463" s="17"/>
      <c r="J463">
        <v>3</v>
      </c>
      <c r="K463">
        <v>5.2</v>
      </c>
      <c r="L463" s="9"/>
    </row>
    <row r="464" spans="1:13" x14ac:dyDescent="0.2">
      <c r="A464" s="8" t="s">
        <v>40</v>
      </c>
      <c r="B464" s="9">
        <v>0.96</v>
      </c>
      <c r="C464" s="9">
        <v>0.96</v>
      </c>
      <c r="D464" s="9"/>
      <c r="E464" s="9"/>
      <c r="F464" s="9"/>
      <c r="G464" s="9">
        <v>35.1</v>
      </c>
      <c r="H464" s="17">
        <f t="shared" si="2"/>
        <v>54.975375</v>
      </c>
      <c r="I464" s="17"/>
      <c r="J464" s="9">
        <v>8</v>
      </c>
      <c r="K464" s="9">
        <v>12.53</v>
      </c>
      <c r="L464" s="9"/>
      <c r="M464" s="9"/>
    </row>
    <row r="465" spans="1:13" x14ac:dyDescent="0.2">
      <c r="A465" s="8" t="s">
        <v>41</v>
      </c>
      <c r="B465" s="9">
        <v>0.38600000000000001</v>
      </c>
      <c r="C465">
        <v>0.52</v>
      </c>
      <c r="G465" s="9">
        <v>287.3</v>
      </c>
      <c r="H465" s="17">
        <f t="shared" si="2"/>
        <v>750.81066666666663</v>
      </c>
      <c r="I465" s="17"/>
      <c r="J465">
        <v>3</v>
      </c>
      <c r="K465">
        <v>7.84</v>
      </c>
    </row>
    <row r="466" spans="1:13" x14ac:dyDescent="0.2">
      <c r="A466" s="8" t="s">
        <v>42</v>
      </c>
      <c r="B466" s="9">
        <v>0.22</v>
      </c>
      <c r="C466">
        <v>0.24</v>
      </c>
      <c r="G466" s="9">
        <v>539.5</v>
      </c>
      <c r="H466" s="17">
        <f t="shared" si="2"/>
        <v>836.22500000000002</v>
      </c>
      <c r="I466" s="17"/>
      <c r="J466">
        <v>8</v>
      </c>
      <c r="K466">
        <v>12.4</v>
      </c>
    </row>
    <row r="467" spans="1:13" x14ac:dyDescent="0.2">
      <c r="A467" s="8" t="s">
        <v>43</v>
      </c>
      <c r="B467" s="9">
        <v>0.78</v>
      </c>
      <c r="C467">
        <v>0.8</v>
      </c>
      <c r="G467" s="9">
        <v>4.3</v>
      </c>
      <c r="H467" s="17">
        <f t="shared" si="2"/>
        <v>5.1599999999999993</v>
      </c>
      <c r="I467" s="17"/>
      <c r="J467">
        <v>4</v>
      </c>
      <c r="K467">
        <v>4.8</v>
      </c>
    </row>
    <row r="468" spans="1:13" x14ac:dyDescent="0.2">
      <c r="A468" s="8" t="s">
        <v>483</v>
      </c>
      <c r="B468" s="9">
        <v>0.8</v>
      </c>
      <c r="C468">
        <v>0.8</v>
      </c>
      <c r="G468" s="9">
        <v>0.5</v>
      </c>
      <c r="H468" s="17">
        <f t="shared" si="2"/>
        <v>0.68571428571428572</v>
      </c>
      <c r="I468" s="17"/>
      <c r="J468">
        <v>7</v>
      </c>
      <c r="K468">
        <v>9.6</v>
      </c>
    </row>
    <row r="469" spans="1:13" x14ac:dyDescent="0.2">
      <c r="A469" s="8" t="s">
        <v>484</v>
      </c>
      <c r="B469" s="9">
        <v>0.63</v>
      </c>
      <c r="C469">
        <v>0.7</v>
      </c>
      <c r="G469" s="9">
        <v>1</v>
      </c>
      <c r="H469" s="17">
        <f t="shared" si="2"/>
        <v>1.0111111111111111</v>
      </c>
      <c r="I469" s="17"/>
      <c r="J469">
        <v>9</v>
      </c>
      <c r="K469">
        <v>9.1</v>
      </c>
    </row>
    <row r="470" spans="1:13" x14ac:dyDescent="0.2">
      <c r="A470" s="8" t="s">
        <v>485</v>
      </c>
      <c r="B470" s="9">
        <v>1</v>
      </c>
      <c r="C470">
        <v>1</v>
      </c>
      <c r="G470" s="9">
        <v>0.5</v>
      </c>
      <c r="H470" s="17">
        <f t="shared" si="2"/>
        <v>2.75</v>
      </c>
      <c r="I470" s="17"/>
      <c r="J470">
        <v>1</v>
      </c>
      <c r="K470">
        <v>5.5</v>
      </c>
    </row>
    <row r="471" spans="1:13" x14ac:dyDescent="0.2">
      <c r="A471" s="8" t="s">
        <v>486</v>
      </c>
      <c r="B471" s="9">
        <v>0.67</v>
      </c>
      <c r="C471">
        <v>0.72699999999999998</v>
      </c>
      <c r="G471" s="9">
        <v>1.1000000000000001</v>
      </c>
      <c r="H471" s="17">
        <f t="shared" si="2"/>
        <v>3.7950000000000004</v>
      </c>
      <c r="I471" s="17"/>
      <c r="J471">
        <v>2</v>
      </c>
      <c r="K471">
        <v>6.9</v>
      </c>
    </row>
    <row r="476" spans="1:13" x14ac:dyDescent="0.2">
      <c r="D476" s="9"/>
      <c r="E476" s="9"/>
      <c r="L476" s="9"/>
      <c r="M476" s="9"/>
    </row>
    <row r="477" spans="1:13" x14ac:dyDescent="0.2">
      <c r="L477" s="9"/>
    </row>
    <row r="478" spans="1:13" x14ac:dyDescent="0.2">
      <c r="L478" s="9"/>
    </row>
    <row r="481" spans="4:13" x14ac:dyDescent="0.2">
      <c r="L481" s="9"/>
    </row>
    <row r="482" spans="4:13" x14ac:dyDescent="0.2">
      <c r="D482" s="9"/>
      <c r="E482" s="9"/>
      <c r="L482" s="9"/>
      <c r="M482" s="9"/>
    </row>
  </sheetData>
  <mergeCells count="4">
    <mergeCell ref="A323:N323"/>
    <mergeCell ref="G456:I456"/>
    <mergeCell ref="B456:D456"/>
    <mergeCell ref="J456:M456"/>
  </mergeCells>
  <pageMargins left="0.75" right="0.75" top="1" bottom="1" header="0.5" footer="0.5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topLeftCell="A10" zoomScale="135" zoomScaleNormal="136" workbookViewId="0">
      <selection activeCell="F32" sqref="F32"/>
    </sheetView>
  </sheetViews>
  <sheetFormatPr baseColWidth="10" defaultColWidth="8.83203125" defaultRowHeight="15" x14ac:dyDescent="0.2"/>
  <cols>
    <col min="1" max="1" width="8.83203125" customWidth="1"/>
    <col min="2" max="2" width="15.1640625" customWidth="1"/>
    <col min="3" max="3" width="14.33203125" customWidth="1"/>
    <col min="4" max="4" width="29.6640625" customWidth="1"/>
    <col min="5" max="5" width="13.6640625" customWidth="1"/>
    <col min="6" max="6" width="12.1640625" customWidth="1"/>
    <col min="7" max="7" width="16" customWidth="1"/>
    <col min="8" max="8" width="20.5" customWidth="1"/>
    <col min="11" max="11" width="10.83203125" customWidth="1"/>
    <col min="13" max="13" width="16.83203125" customWidth="1"/>
  </cols>
  <sheetData>
    <row r="1" spans="1:13" x14ac:dyDescent="0.2">
      <c r="A1" t="s">
        <v>0</v>
      </c>
      <c r="B1" t="s">
        <v>487</v>
      </c>
      <c r="C1" t="s">
        <v>488</v>
      </c>
      <c r="D1" t="s">
        <v>489</v>
      </c>
      <c r="E1" t="s">
        <v>490</v>
      </c>
      <c r="F1" t="s">
        <v>491</v>
      </c>
      <c r="G1" t="s">
        <v>492</v>
      </c>
      <c r="H1" t="s">
        <v>815</v>
      </c>
      <c r="I1" t="s">
        <v>0</v>
      </c>
      <c r="J1" t="s">
        <v>53</v>
      </c>
      <c r="K1" t="s">
        <v>813</v>
      </c>
      <c r="L1" t="s">
        <v>814</v>
      </c>
      <c r="M1" t="s">
        <v>817</v>
      </c>
    </row>
    <row r="2" spans="1:13" x14ac:dyDescent="0.2">
      <c r="A2" t="s">
        <v>33</v>
      </c>
      <c r="B2">
        <v>4.2053969999999996</v>
      </c>
      <c r="C2">
        <v>2.56</v>
      </c>
      <c r="D2">
        <v>8.6728670000000001</v>
      </c>
      <c r="E2">
        <v>1.8395999999999999E-2</v>
      </c>
      <c r="F2">
        <v>0.36778300000000003</v>
      </c>
      <c r="G2">
        <v>1.52</v>
      </c>
      <c r="H2">
        <f>K2/L2*D2</f>
        <v>0.43364335000000004</v>
      </c>
      <c r="I2" t="s">
        <v>33</v>
      </c>
      <c r="J2">
        <v>10400</v>
      </c>
      <c r="K2">
        <v>0.5</v>
      </c>
      <c r="L2">
        <v>10</v>
      </c>
      <c r="M2">
        <f>H2/SUM(B2:H2)</f>
        <v>2.4392015060721091E-2</v>
      </c>
    </row>
    <row r="3" spans="1:13" x14ac:dyDescent="0.2">
      <c r="A3" t="s">
        <v>34</v>
      </c>
      <c r="B3">
        <v>92.3</v>
      </c>
      <c r="C3">
        <v>82</v>
      </c>
      <c r="D3">
        <v>185.45</v>
      </c>
      <c r="E3">
        <v>3.6999999999999998E-2</v>
      </c>
      <c r="F3">
        <v>8.4589999999999996</v>
      </c>
      <c r="G3">
        <v>36</v>
      </c>
      <c r="H3">
        <f>K3/L3*D3</f>
        <v>129.815</v>
      </c>
      <c r="I3" t="s">
        <v>34</v>
      </c>
      <c r="J3">
        <v>230400</v>
      </c>
      <c r="K3">
        <v>0.7</v>
      </c>
      <c r="L3">
        <v>1</v>
      </c>
      <c r="M3">
        <f t="shared" ref="M3:M17" si="0">H3/SUM(B3:H3)</f>
        <v>0.2430714843435488</v>
      </c>
    </row>
    <row r="4" spans="1:13" x14ac:dyDescent="0.2">
      <c r="A4" t="s">
        <v>35</v>
      </c>
      <c r="B4">
        <v>3.94</v>
      </c>
      <c r="C4">
        <v>2.13</v>
      </c>
      <c r="D4">
        <v>52</v>
      </c>
      <c r="E4">
        <v>1.4999999999999999E-2</v>
      </c>
      <c r="F4">
        <v>0.32300000000000001</v>
      </c>
      <c r="G4">
        <v>1.43</v>
      </c>
      <c r="H4">
        <f>K4/L4*D4</f>
        <v>198.12</v>
      </c>
      <c r="I4" t="s">
        <v>35</v>
      </c>
      <c r="J4">
        <v>9280</v>
      </c>
      <c r="K4">
        <v>38.1</v>
      </c>
      <c r="L4">
        <v>10</v>
      </c>
      <c r="M4">
        <f t="shared" si="0"/>
        <v>0.76803200521015047</v>
      </c>
    </row>
    <row r="5" spans="1:13" x14ac:dyDescent="0.2">
      <c r="A5" t="s">
        <v>36</v>
      </c>
      <c r="B5">
        <v>67.8</v>
      </c>
      <c r="C5">
        <v>52.5</v>
      </c>
      <c r="D5">
        <v>130.35900000000001</v>
      </c>
      <c r="E5">
        <v>6.6000000000000003E-2</v>
      </c>
      <c r="F5">
        <v>6.9472839999999998</v>
      </c>
      <c r="G5">
        <v>70</v>
      </c>
      <c r="H5">
        <f>K5/L5*D5/4</f>
        <v>143.39490000000004</v>
      </c>
      <c r="I5" t="s">
        <v>36</v>
      </c>
      <c r="J5">
        <v>525625</v>
      </c>
      <c r="K5">
        <v>4.4000000000000004</v>
      </c>
      <c r="L5">
        <v>1</v>
      </c>
      <c r="M5">
        <f t="shared" si="0"/>
        <v>0.30440435010221395</v>
      </c>
    </row>
    <row r="6" spans="1:13" x14ac:dyDescent="0.2">
      <c r="A6" t="s">
        <v>37</v>
      </c>
      <c r="B6">
        <v>7.9785069999999996</v>
      </c>
      <c r="C6">
        <v>2.33</v>
      </c>
      <c r="D6">
        <v>19.546330000000001</v>
      </c>
      <c r="E6">
        <v>0.19872000000000001</v>
      </c>
      <c r="F6">
        <v>1.530127</v>
      </c>
      <c r="G6">
        <v>1.9</v>
      </c>
      <c r="H6">
        <f>K6/L6*D6</f>
        <v>1.9546330000000003</v>
      </c>
      <c r="I6" t="s">
        <v>37</v>
      </c>
      <c r="J6">
        <v>115768</v>
      </c>
      <c r="K6">
        <v>0.1</v>
      </c>
      <c r="L6">
        <v>1</v>
      </c>
      <c r="M6">
        <f t="shared" si="0"/>
        <v>5.5155920638104795E-2</v>
      </c>
    </row>
    <row r="7" spans="1:13" x14ac:dyDescent="0.2">
      <c r="A7" t="s">
        <v>38</v>
      </c>
      <c r="B7">
        <v>1.1739999999999999</v>
      </c>
      <c r="C7">
        <v>3.35</v>
      </c>
      <c r="D7">
        <v>13.785</v>
      </c>
      <c r="E7">
        <v>0.2</v>
      </c>
      <c r="F7">
        <v>0.33835999999999999</v>
      </c>
      <c r="G7">
        <v>0.9</v>
      </c>
      <c r="H7">
        <f>K7/L7*D7</f>
        <v>27.57</v>
      </c>
      <c r="I7" t="s">
        <v>38</v>
      </c>
      <c r="J7">
        <v>25440</v>
      </c>
      <c r="K7">
        <v>2</v>
      </c>
      <c r="L7">
        <v>1</v>
      </c>
      <c r="M7">
        <f t="shared" si="0"/>
        <v>0.58266141644419722</v>
      </c>
    </row>
    <row r="8" spans="1:13" x14ac:dyDescent="0.2">
      <c r="A8" t="s">
        <v>39</v>
      </c>
      <c r="B8">
        <v>11.867000000000001</v>
      </c>
      <c r="C8">
        <v>7.12</v>
      </c>
      <c r="D8">
        <v>21.824999999999999</v>
      </c>
      <c r="E8">
        <v>6.4000000000000001E-2</v>
      </c>
      <c r="F8">
        <v>5.2762999999999997E-2</v>
      </c>
      <c r="G8">
        <v>3.6</v>
      </c>
      <c r="H8">
        <f>K8/L8*D8</f>
        <v>1.746</v>
      </c>
      <c r="I8" t="s">
        <v>39</v>
      </c>
      <c r="J8">
        <v>3992</v>
      </c>
      <c r="K8">
        <v>0.8</v>
      </c>
      <c r="L8">
        <v>10</v>
      </c>
      <c r="M8">
        <f t="shared" si="0"/>
        <v>3.773114948206218E-2</v>
      </c>
    </row>
    <row r="9" spans="1:13" x14ac:dyDescent="0.2">
      <c r="A9" t="s">
        <v>40</v>
      </c>
      <c r="B9">
        <v>6.2</v>
      </c>
      <c r="C9">
        <v>3.8639999999999999</v>
      </c>
      <c r="D9">
        <v>16.73</v>
      </c>
      <c r="E9">
        <v>3.2000000000000001E-2</v>
      </c>
      <c r="F9">
        <v>0.13309699999999999</v>
      </c>
      <c r="G9">
        <v>2.69</v>
      </c>
      <c r="H9">
        <f>K9/L9*D9</f>
        <v>4.8517000000000001</v>
      </c>
      <c r="I9" t="s">
        <v>40</v>
      </c>
      <c r="J9">
        <v>10070</v>
      </c>
      <c r="K9">
        <v>2.9</v>
      </c>
      <c r="L9">
        <v>10</v>
      </c>
      <c r="M9">
        <f t="shared" si="0"/>
        <v>0.14062573684891977</v>
      </c>
    </row>
    <row r="10" spans="1:13" x14ac:dyDescent="0.2">
      <c r="A10" t="s">
        <v>41</v>
      </c>
      <c r="B10">
        <v>7.4128999999999996</v>
      </c>
      <c r="C10">
        <v>1.45</v>
      </c>
      <c r="D10">
        <v>27.515000000000001</v>
      </c>
      <c r="E10">
        <v>8.9999999999999993E-3</v>
      </c>
      <c r="F10">
        <v>5.2999999999999999E-2</v>
      </c>
      <c r="G10">
        <v>1.2</v>
      </c>
      <c r="H10">
        <f>K10/L10*D10</f>
        <v>66.036000000000001</v>
      </c>
      <c r="I10" t="s">
        <v>41</v>
      </c>
      <c r="J10">
        <v>157269</v>
      </c>
      <c r="K10">
        <v>2.4</v>
      </c>
      <c r="L10">
        <v>1</v>
      </c>
      <c r="M10">
        <f t="shared" si="0"/>
        <v>0.6369464841877428</v>
      </c>
    </row>
    <row r="11" spans="1:13" x14ac:dyDescent="0.2">
      <c r="A11" t="s">
        <v>42</v>
      </c>
      <c r="B11">
        <v>21.515618</v>
      </c>
      <c r="C11">
        <v>7.1</v>
      </c>
      <c r="D11">
        <v>50.465417000000002</v>
      </c>
      <c r="E11">
        <v>5.4864000000000003E-2</v>
      </c>
      <c r="F11">
        <v>0.39823399999999998</v>
      </c>
      <c r="G11">
        <v>0.68</v>
      </c>
      <c r="H11">
        <f>K11/L11*D11</f>
        <v>10.093083400000001</v>
      </c>
      <c r="I11" t="s">
        <v>42</v>
      </c>
      <c r="J11">
        <v>30130</v>
      </c>
      <c r="K11">
        <v>0.2</v>
      </c>
      <c r="L11">
        <v>1</v>
      </c>
      <c r="M11">
        <f t="shared" si="0"/>
        <v>0.11176386342476172</v>
      </c>
    </row>
    <row r="12" spans="1:13" x14ac:dyDescent="0.2">
      <c r="A12" t="s">
        <v>43</v>
      </c>
      <c r="B12">
        <v>2.3639999999999999</v>
      </c>
      <c r="C12">
        <v>3.722</v>
      </c>
      <c r="D12">
        <v>8.0236499999999999</v>
      </c>
      <c r="E12">
        <v>3.3219999999999999E-3</v>
      </c>
      <c r="F12">
        <v>1.0574E-2</v>
      </c>
      <c r="G12">
        <v>5.6</v>
      </c>
      <c r="H12">
        <f>K12/L12*D12</f>
        <v>1.6849665000000003</v>
      </c>
      <c r="I12" t="s">
        <v>43</v>
      </c>
      <c r="J12">
        <v>1600</v>
      </c>
      <c r="K12">
        <v>2.1</v>
      </c>
      <c r="L12">
        <v>10</v>
      </c>
      <c r="M12">
        <f t="shared" si="0"/>
        <v>7.8705444855171516E-2</v>
      </c>
    </row>
    <row r="13" spans="1:13" x14ac:dyDescent="0.2">
      <c r="A13" t="s">
        <v>493</v>
      </c>
      <c r="B13">
        <v>0.08</v>
      </c>
      <c r="C13">
        <v>0.24</v>
      </c>
      <c r="D13">
        <v>0.38800000000000001</v>
      </c>
      <c r="E13">
        <v>1E-3</v>
      </c>
      <c r="F13">
        <v>3.9649999999999998E-3</v>
      </c>
      <c r="G13">
        <v>4.2000000000000003E-2</v>
      </c>
      <c r="H13">
        <f>K13/L13*D13</f>
        <v>6.5959999999999991E-2</v>
      </c>
      <c r="I13" t="s">
        <v>64</v>
      </c>
      <c r="J13">
        <v>266</v>
      </c>
      <c r="K13">
        <v>1.7</v>
      </c>
      <c r="L13">
        <v>10</v>
      </c>
      <c r="M13">
        <f t="shared" si="0"/>
        <v>8.0348387489721951E-2</v>
      </c>
    </row>
    <row r="14" spans="1:13" x14ac:dyDescent="0.2">
      <c r="A14" t="s">
        <v>494</v>
      </c>
      <c r="B14">
        <v>8.8999999999999996E-2</v>
      </c>
      <c r="C14">
        <v>0.64</v>
      </c>
      <c r="D14">
        <v>0.82399999999999995</v>
      </c>
      <c r="E14">
        <v>3.0000000000000001E-3</v>
      </c>
      <c r="F14">
        <v>1.8848E-2</v>
      </c>
      <c r="G14">
        <v>4.4999999999999998E-2</v>
      </c>
      <c r="H14">
        <f>K14/L14*D14</f>
        <v>0.23895999999999998</v>
      </c>
      <c r="I14" t="s">
        <v>66</v>
      </c>
      <c r="J14">
        <v>1426</v>
      </c>
      <c r="K14">
        <v>2.9</v>
      </c>
      <c r="L14">
        <v>10</v>
      </c>
      <c r="M14">
        <f t="shared" si="0"/>
        <v>0.12855550438775817</v>
      </c>
    </row>
    <row r="15" spans="1:13" x14ac:dyDescent="0.2">
      <c r="A15" t="s">
        <v>495</v>
      </c>
      <c r="B15">
        <v>8.2000000000000003E-2</v>
      </c>
      <c r="C15">
        <v>0.35</v>
      </c>
      <c r="D15">
        <v>0.46400000000000002</v>
      </c>
      <c r="E15">
        <v>2E-3</v>
      </c>
      <c r="F15">
        <v>5.0749999999999997E-3</v>
      </c>
      <c r="G15">
        <v>5.3999999999999999E-2</v>
      </c>
      <c r="H15">
        <f>K15/L15*D15</f>
        <v>7.424E-2</v>
      </c>
      <c r="I15" t="s">
        <v>67</v>
      </c>
      <c r="J15">
        <v>384</v>
      </c>
      <c r="K15">
        <v>1.6</v>
      </c>
      <c r="L15">
        <v>10</v>
      </c>
      <c r="M15">
        <f t="shared" si="0"/>
        <v>7.1985765745674196E-2</v>
      </c>
    </row>
    <row r="16" spans="1:13" x14ac:dyDescent="0.2">
      <c r="A16" t="s">
        <v>496</v>
      </c>
      <c r="B16">
        <v>0.09</v>
      </c>
      <c r="C16">
        <v>0.4</v>
      </c>
      <c r="D16">
        <v>0.96099999999999997</v>
      </c>
      <c r="E16">
        <v>3.0000000000000001E-3</v>
      </c>
      <c r="F16">
        <v>1.8782E-2</v>
      </c>
      <c r="G16">
        <v>0.14699999999999999</v>
      </c>
      <c r="H16">
        <f>K16/L16*D16</f>
        <v>0.12493</v>
      </c>
      <c r="I16" t="s">
        <v>69</v>
      </c>
      <c r="J16">
        <v>1421</v>
      </c>
      <c r="K16">
        <v>1.3</v>
      </c>
      <c r="L16">
        <v>10</v>
      </c>
      <c r="M16">
        <f t="shared" si="0"/>
        <v>7.1604941102027156E-2</v>
      </c>
    </row>
    <row r="17" spans="1:13" x14ac:dyDescent="0.2">
      <c r="A17" t="s">
        <v>44</v>
      </c>
      <c r="B17">
        <v>10.199999999999999</v>
      </c>
      <c r="C17">
        <v>7.23</v>
      </c>
      <c r="D17">
        <v>32.832999999999998</v>
      </c>
      <c r="E17">
        <v>0.12</v>
      </c>
      <c r="F17">
        <v>2.16</v>
      </c>
      <c r="G17">
        <v>2.7</v>
      </c>
      <c r="H17">
        <f>K17/L17*D17/3</f>
        <v>203.56460000000001</v>
      </c>
      <c r="I17" t="s">
        <v>44</v>
      </c>
      <c r="J17">
        <v>65536</v>
      </c>
      <c r="K17">
        <v>18.600000000000001</v>
      </c>
      <c r="L17">
        <v>1</v>
      </c>
      <c r="M17">
        <f t="shared" si="0"/>
        <v>0.78654799936323361</v>
      </c>
    </row>
    <row r="21" spans="1:13" x14ac:dyDescent="0.2">
      <c r="C21" t="s">
        <v>812</v>
      </c>
      <c r="D21" t="s">
        <v>816</v>
      </c>
      <c r="E21" t="s">
        <v>817</v>
      </c>
    </row>
    <row r="22" spans="1:13" x14ac:dyDescent="0.2">
      <c r="A22" t="s">
        <v>40</v>
      </c>
      <c r="B22" t="s">
        <v>447</v>
      </c>
      <c r="C22" s="5">
        <f>D22/(1-E22)</f>
        <v>91.112805395051325</v>
      </c>
      <c r="D22">
        <v>78.3</v>
      </c>
      <c r="E22">
        <v>0.14062573684891977</v>
      </c>
    </row>
    <row r="23" spans="1:13" x14ac:dyDescent="0.2">
      <c r="A23" s="35" t="s">
        <v>41</v>
      </c>
      <c r="B23" s="35" t="s">
        <v>447</v>
      </c>
      <c r="C23" s="5">
        <f t="shared" ref="C23:C37" si="1">D23/(1-E23)</f>
        <v>108.24850411398543</v>
      </c>
      <c r="D23" s="40">
        <v>39.299999999999997</v>
      </c>
      <c r="E23" s="40">
        <v>0.6369464841877428</v>
      </c>
    </row>
    <row r="24" spans="1:13" x14ac:dyDescent="0.2">
      <c r="A24" s="35" t="s">
        <v>42</v>
      </c>
      <c r="B24" s="35" t="s">
        <v>447</v>
      </c>
      <c r="C24" s="5">
        <f t="shared" si="1"/>
        <v>95.695273475062066</v>
      </c>
      <c r="D24" s="40">
        <v>85</v>
      </c>
      <c r="E24" s="40">
        <v>0.11176386342476172</v>
      </c>
    </row>
    <row r="25" spans="1:13" x14ac:dyDescent="0.2">
      <c r="A25" t="s">
        <v>39</v>
      </c>
      <c r="B25" t="s">
        <v>447</v>
      </c>
      <c r="C25" s="5">
        <f t="shared" si="1"/>
        <v>124.60135218488955</v>
      </c>
      <c r="D25" s="40">
        <v>119.9</v>
      </c>
      <c r="E25" s="40">
        <v>3.7731148999999999E-2</v>
      </c>
    </row>
    <row r="26" spans="1:13" x14ac:dyDescent="0.2">
      <c r="A26" t="s">
        <v>35</v>
      </c>
      <c r="B26" t="s">
        <v>447</v>
      </c>
      <c r="C26" s="5">
        <f t="shared" si="1"/>
        <v>208.64947357866237</v>
      </c>
      <c r="D26" s="40">
        <v>48.4</v>
      </c>
      <c r="E26" s="40">
        <v>0.76803200521015047</v>
      </c>
    </row>
    <row r="27" spans="1:13" x14ac:dyDescent="0.2">
      <c r="A27" s="35" t="s">
        <v>36</v>
      </c>
      <c r="B27" s="35" t="s">
        <v>447</v>
      </c>
      <c r="C27" s="5">
        <f t="shared" si="1"/>
        <v>81.512873187651124</v>
      </c>
      <c r="D27" s="40">
        <v>56.7</v>
      </c>
      <c r="E27" s="40">
        <v>0.30440435010221395</v>
      </c>
    </row>
    <row r="28" spans="1:13" x14ac:dyDescent="0.2">
      <c r="A28" s="35" t="s">
        <v>37</v>
      </c>
      <c r="B28" s="35" t="s">
        <v>447</v>
      </c>
      <c r="C28" s="5">
        <f t="shared" si="1"/>
        <v>52.918784265196152</v>
      </c>
      <c r="D28" s="40">
        <v>50</v>
      </c>
      <c r="E28" s="40">
        <v>5.5155920638104795E-2</v>
      </c>
    </row>
    <row r="29" spans="1:13" x14ac:dyDescent="0.2">
      <c r="A29" s="35" t="s">
        <v>38</v>
      </c>
      <c r="B29" s="35" t="s">
        <v>447</v>
      </c>
      <c r="C29" s="5">
        <f t="shared" si="1"/>
        <v>168.68797368357087</v>
      </c>
      <c r="D29" s="40">
        <v>70.400000000000006</v>
      </c>
      <c r="E29" s="40">
        <v>0.58266141644419722</v>
      </c>
    </row>
    <row r="30" spans="1:13" x14ac:dyDescent="0.2">
      <c r="A30" t="s">
        <v>33</v>
      </c>
      <c r="B30" t="s">
        <v>447</v>
      </c>
      <c r="C30" s="5">
        <f t="shared" si="1"/>
        <v>18.24503312271256</v>
      </c>
      <c r="D30" s="40">
        <v>17.8</v>
      </c>
      <c r="E30" s="40">
        <v>2.4392015060721091E-2</v>
      </c>
    </row>
    <row r="31" spans="1:13" x14ac:dyDescent="0.2">
      <c r="A31" s="35" t="s">
        <v>34</v>
      </c>
      <c r="B31" s="35" t="s">
        <v>447</v>
      </c>
      <c r="C31" s="5">
        <f t="shared" si="1"/>
        <v>57.072760645745426</v>
      </c>
      <c r="D31" s="40">
        <v>43.2</v>
      </c>
      <c r="E31" s="40">
        <v>0.2430714843435488</v>
      </c>
    </row>
    <row r="32" spans="1:13" x14ac:dyDescent="0.2">
      <c r="A32" t="s">
        <v>43</v>
      </c>
      <c r="B32" t="s">
        <v>447</v>
      </c>
      <c r="C32" s="5">
        <f t="shared" si="1"/>
        <v>6.4040322034384696</v>
      </c>
      <c r="D32" s="40">
        <v>5.9</v>
      </c>
      <c r="E32" s="40">
        <v>7.8705444855171516E-2</v>
      </c>
    </row>
    <row r="33" spans="1:5" x14ac:dyDescent="0.2">
      <c r="A33" t="s">
        <v>45</v>
      </c>
      <c r="B33" t="s">
        <v>447</v>
      </c>
      <c r="C33" s="5">
        <f t="shared" si="1"/>
        <v>0.43494731543846404</v>
      </c>
      <c r="D33" s="40">
        <v>0.4</v>
      </c>
      <c r="E33" s="40">
        <v>8.0348387489721951E-2</v>
      </c>
    </row>
    <row r="34" spans="1:5" x14ac:dyDescent="0.2">
      <c r="A34" t="s">
        <v>46</v>
      </c>
      <c r="B34" t="s">
        <v>447</v>
      </c>
      <c r="C34" s="5">
        <f t="shared" si="1"/>
        <v>1.0327680128012011</v>
      </c>
      <c r="D34" s="40">
        <v>0.9</v>
      </c>
      <c r="E34" s="40">
        <v>0.12855550438775817</v>
      </c>
    </row>
    <row r="35" spans="1:5" x14ac:dyDescent="0.2">
      <c r="A35" t="s">
        <v>47</v>
      </c>
      <c r="B35" t="s">
        <v>447</v>
      </c>
      <c r="C35" s="5">
        <f t="shared" si="1"/>
        <v>1.4008405819815584</v>
      </c>
      <c r="D35" s="40">
        <v>1.3</v>
      </c>
      <c r="E35" s="40">
        <v>7.1985765745674196E-2</v>
      </c>
    </row>
    <row r="36" spans="1:5" x14ac:dyDescent="0.2">
      <c r="A36" t="s">
        <v>48</v>
      </c>
      <c r="B36" t="s">
        <v>447</v>
      </c>
      <c r="C36" s="5">
        <f t="shared" si="1"/>
        <v>1.5079787280016694</v>
      </c>
      <c r="D36" s="40">
        <v>1.4</v>
      </c>
      <c r="E36" s="40">
        <v>7.1604941102027156E-2</v>
      </c>
    </row>
    <row r="37" spans="1:5" x14ac:dyDescent="0.2">
      <c r="A37" s="35" t="s">
        <v>44</v>
      </c>
      <c r="B37" s="35" t="s">
        <v>447</v>
      </c>
      <c r="C37" s="5">
        <f t="shared" si="1"/>
        <v>143.35775681986863</v>
      </c>
      <c r="D37" s="40">
        <v>30.6</v>
      </c>
      <c r="E37" s="40">
        <v>0.78654799936323361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zoomScale="184" workbookViewId="0"/>
  </sheetViews>
  <sheetFormatPr baseColWidth="10" defaultColWidth="8.83203125" defaultRowHeight="15" x14ac:dyDescent="0.2"/>
  <sheetData>
    <row r="1" spans="1:9" x14ac:dyDescent="0.2">
      <c r="A1" t="s">
        <v>441</v>
      </c>
      <c r="B1" t="s">
        <v>497</v>
      </c>
      <c r="C1" t="s">
        <v>498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</row>
    <row r="2" spans="1:9" x14ac:dyDescent="0.2">
      <c r="A2" t="s">
        <v>446</v>
      </c>
      <c r="B2">
        <v>0.6492</v>
      </c>
      <c r="C2">
        <v>0</v>
      </c>
      <c r="D2">
        <v>1</v>
      </c>
      <c r="E2">
        <v>1</v>
      </c>
      <c r="F2">
        <v>14</v>
      </c>
      <c r="G2">
        <v>14</v>
      </c>
      <c r="H2">
        <v>14</v>
      </c>
      <c r="I2">
        <v>10</v>
      </c>
    </row>
    <row r="3" spans="1:9" x14ac:dyDescent="0.2">
      <c r="A3" t="s">
        <v>443</v>
      </c>
      <c r="B3">
        <v>0.48010000000000003</v>
      </c>
      <c r="C3">
        <v>-0.1691</v>
      </c>
      <c r="D3">
        <v>0.92600000000000005</v>
      </c>
      <c r="E3">
        <v>0.89600000000000002</v>
      </c>
      <c r="F3">
        <v>14</v>
      </c>
      <c r="G3">
        <v>14</v>
      </c>
      <c r="H3">
        <v>14</v>
      </c>
      <c r="I3">
        <v>9</v>
      </c>
    </row>
    <row r="4" spans="1:9" x14ac:dyDescent="0.2">
      <c r="A4" t="s">
        <v>444</v>
      </c>
      <c r="B4">
        <v>0.38819999999999999</v>
      </c>
      <c r="C4">
        <v>-0.2571</v>
      </c>
      <c r="D4">
        <v>2.3530000000000002</v>
      </c>
      <c r="E4">
        <v>1.409</v>
      </c>
      <c r="F4">
        <v>12</v>
      </c>
      <c r="G4">
        <v>12</v>
      </c>
      <c r="H4">
        <v>12</v>
      </c>
      <c r="I4">
        <v>9</v>
      </c>
    </row>
    <row r="5" spans="1:9" x14ac:dyDescent="0.2">
      <c r="A5" t="s">
        <v>445</v>
      </c>
      <c r="B5">
        <v>0.66110000000000002</v>
      </c>
      <c r="C5">
        <v>1.1900000000000001E-2</v>
      </c>
      <c r="D5">
        <v>0.32100000000000001</v>
      </c>
      <c r="E5">
        <v>0.627</v>
      </c>
      <c r="F5">
        <v>14</v>
      </c>
      <c r="G5">
        <v>14</v>
      </c>
      <c r="H5">
        <v>14</v>
      </c>
      <c r="I5">
        <v>10</v>
      </c>
    </row>
    <row r="6" spans="1:9" x14ac:dyDescent="0.2">
      <c r="A6" t="s">
        <v>447</v>
      </c>
      <c r="B6">
        <v>0.7742</v>
      </c>
      <c r="C6">
        <v>0.125</v>
      </c>
      <c r="D6">
        <v>13.789</v>
      </c>
      <c r="E6">
        <v>16.338000000000001</v>
      </c>
      <c r="F6">
        <v>14</v>
      </c>
      <c r="G6">
        <v>14</v>
      </c>
      <c r="H6">
        <v>14</v>
      </c>
      <c r="I6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zoomScale="207" workbookViewId="0"/>
  </sheetViews>
  <sheetFormatPr baseColWidth="10" defaultColWidth="8.83203125" defaultRowHeight="15" x14ac:dyDescent="0.2"/>
  <cols>
    <col min="2" max="2" width="18.33203125" customWidth="1"/>
    <col min="3" max="3" width="17" customWidth="1"/>
    <col min="4" max="4" width="18" customWidth="1"/>
    <col min="5" max="5" width="20.5" customWidth="1"/>
  </cols>
  <sheetData>
    <row r="1" spans="1:5" x14ac:dyDescent="0.2">
      <c r="A1" t="s">
        <v>0</v>
      </c>
      <c r="B1" t="s">
        <v>505</v>
      </c>
      <c r="C1" t="s">
        <v>506</v>
      </c>
      <c r="D1" t="s">
        <v>507</v>
      </c>
      <c r="E1" t="s">
        <v>508</v>
      </c>
    </row>
    <row r="2" spans="1:5" x14ac:dyDescent="0.2">
      <c r="A2" t="s">
        <v>40</v>
      </c>
      <c r="B2">
        <v>-1.7821324542584779E-2</v>
      </c>
      <c r="C2">
        <v>0.62277867528271402</v>
      </c>
      <c r="D2">
        <v>-3.620000000000001E-2</v>
      </c>
      <c r="E2">
        <v>46.903370786516852</v>
      </c>
    </row>
    <row r="3" spans="1:5" x14ac:dyDescent="0.2">
      <c r="A3" t="s">
        <v>41</v>
      </c>
      <c r="B3">
        <v>0</v>
      </c>
      <c r="C3">
        <v>0.83861530960507058</v>
      </c>
      <c r="D3">
        <v>2.966939457658602E-2</v>
      </c>
      <c r="E3">
        <v>5.4983640793595541</v>
      </c>
    </row>
    <row r="4" spans="1:5" x14ac:dyDescent="0.2">
      <c r="A4" t="s">
        <v>42</v>
      </c>
      <c r="B4">
        <v>-0.1037713684250096</v>
      </c>
      <c r="C4">
        <v>0.59210078311201908</v>
      </c>
      <c r="D4">
        <v>-3.4312057000000007E-2</v>
      </c>
      <c r="E4">
        <v>8.665191740412979</v>
      </c>
    </row>
    <row r="5" spans="1:5" x14ac:dyDescent="0.2">
      <c r="A5" t="s">
        <v>39</v>
      </c>
      <c r="B5">
        <v>0.31674208144796379</v>
      </c>
      <c r="C5">
        <v>0.65558397271952262</v>
      </c>
      <c r="D5">
        <v>8.6999999999999966E-2</v>
      </c>
      <c r="E5">
        <v>7.0669856459330154</v>
      </c>
    </row>
    <row r="6" spans="1:5" x14ac:dyDescent="0.2">
      <c r="A6" t="s">
        <v>36</v>
      </c>
      <c r="B6">
        <v>0.44567457129885091</v>
      </c>
      <c r="C6">
        <v>0.34061135371179041</v>
      </c>
      <c r="D6">
        <v>-6.8400000000000016E-2</v>
      </c>
      <c r="E6">
        <v>19.359217081850531</v>
      </c>
    </row>
    <row r="7" spans="1:5" x14ac:dyDescent="0.2">
      <c r="A7" t="s">
        <v>37</v>
      </c>
      <c r="B7">
        <v>0.64957264957264949</v>
      </c>
      <c r="C7">
        <v>0.83855421686746978</v>
      </c>
      <c r="D7">
        <v>0.29310000000000003</v>
      </c>
      <c r="E7">
        <v>84.398458105092317</v>
      </c>
    </row>
    <row r="8" spans="1:5" x14ac:dyDescent="0.2">
      <c r="A8" t="s">
        <v>38</v>
      </c>
      <c r="B8">
        <v>0.32683658170914542</v>
      </c>
      <c r="C8">
        <v>0.58919803600654663</v>
      </c>
      <c r="D8">
        <v>8.1000000000000016E-2</v>
      </c>
      <c r="E8">
        <v>18.39321644150618</v>
      </c>
    </row>
    <row r="9" spans="1:5" x14ac:dyDescent="0.2">
      <c r="A9" t="s">
        <v>33</v>
      </c>
      <c r="B9">
        <v>1</v>
      </c>
      <c r="C9">
        <v>5.032822757111597E-2</v>
      </c>
      <c r="D9">
        <v>0.565217391304348</v>
      </c>
      <c r="E9">
        <v>31.649831649831651</v>
      </c>
    </row>
    <row r="10" spans="1:5" x14ac:dyDescent="0.2">
      <c r="A10" t="s">
        <v>34</v>
      </c>
      <c r="B10">
        <v>0.83333333333333326</v>
      </c>
      <c r="C10">
        <v>0.29763042231989301</v>
      </c>
      <c r="D10">
        <v>2.9999999999996701E-4</v>
      </c>
      <c r="E10">
        <v>139.04144144144149</v>
      </c>
    </row>
    <row r="11" spans="1:5" x14ac:dyDescent="0.2">
      <c r="A11" t="s">
        <v>43</v>
      </c>
      <c r="B11">
        <v>0.77551020408163263</v>
      </c>
      <c r="C11">
        <v>0.36405529953917048</v>
      </c>
      <c r="D11">
        <v>-2.0000000000000021E-2</v>
      </c>
      <c r="E11">
        <v>12.77188940092166</v>
      </c>
    </row>
    <row r="12" spans="1:5" x14ac:dyDescent="0.2">
      <c r="A12" t="s">
        <v>45</v>
      </c>
      <c r="B12">
        <v>0.88888888888888906</v>
      </c>
      <c r="C12">
        <v>0.46808510638297868</v>
      </c>
      <c r="D12">
        <v>-0.13330000000000011</v>
      </c>
      <c r="E12">
        <v>4.1521739130434776</v>
      </c>
    </row>
    <row r="13" spans="1:5" x14ac:dyDescent="0.2">
      <c r="A13" t="s">
        <v>46</v>
      </c>
      <c r="B13">
        <v>0.82352941176470595</v>
      </c>
      <c r="C13">
        <v>0.29591836734693883</v>
      </c>
      <c r="D13">
        <v>0.19089999999999999</v>
      </c>
      <c r="E13">
        <v>4.5360824742268049</v>
      </c>
    </row>
    <row r="14" spans="1:5" x14ac:dyDescent="0.2">
      <c r="A14" t="s">
        <v>47</v>
      </c>
      <c r="B14">
        <v>1</v>
      </c>
      <c r="C14">
        <v>0.46153846153846151</v>
      </c>
      <c r="D14">
        <v>-0.2</v>
      </c>
      <c r="E14">
        <v>3.0204081632653059</v>
      </c>
    </row>
    <row r="15" spans="1:5" x14ac:dyDescent="0.2">
      <c r="A15" t="s">
        <v>48</v>
      </c>
      <c r="B15">
        <v>0.69565217391304401</v>
      </c>
      <c r="C15">
        <v>0.18867924528301891</v>
      </c>
      <c r="D15">
        <v>5.8000000000000274E-3</v>
      </c>
      <c r="E15">
        <v>5.9223300970873778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77</v>
      </c>
      <c r="C1" t="s">
        <v>442</v>
      </c>
    </row>
    <row r="2" spans="1:3" x14ac:dyDescent="0.2">
      <c r="A2" t="s">
        <v>33</v>
      </c>
      <c r="B2">
        <v>0.25</v>
      </c>
      <c r="C2">
        <v>1</v>
      </c>
    </row>
    <row r="3" spans="1:3" x14ac:dyDescent="0.2">
      <c r="A3" t="s">
        <v>33</v>
      </c>
      <c r="B3">
        <v>0.5</v>
      </c>
      <c r="C3">
        <v>1</v>
      </c>
    </row>
    <row r="4" spans="1:3" x14ac:dyDescent="0.2">
      <c r="A4" t="s">
        <v>33</v>
      </c>
      <c r="B4">
        <v>0.75</v>
      </c>
      <c r="C4">
        <v>1</v>
      </c>
    </row>
    <row r="5" spans="1:3" x14ac:dyDescent="0.2">
      <c r="A5" t="s">
        <v>33</v>
      </c>
      <c r="B5">
        <v>1</v>
      </c>
      <c r="C5">
        <v>1</v>
      </c>
    </row>
    <row r="6" spans="1:3" x14ac:dyDescent="0.2">
      <c r="A6" t="s">
        <v>33</v>
      </c>
      <c r="B6">
        <v>1.25</v>
      </c>
      <c r="C6">
        <v>1</v>
      </c>
    </row>
    <row r="7" spans="1:3" x14ac:dyDescent="0.2">
      <c r="A7" t="s">
        <v>34</v>
      </c>
      <c r="B7">
        <v>0.25</v>
      </c>
      <c r="C7">
        <v>0.83333333333333326</v>
      </c>
    </row>
    <row r="8" spans="1:3" x14ac:dyDescent="0.2">
      <c r="A8" t="s">
        <v>34</v>
      </c>
      <c r="B8">
        <v>0.5</v>
      </c>
      <c r="C8">
        <v>0.66666666666666663</v>
      </c>
    </row>
    <row r="9" spans="1:3" x14ac:dyDescent="0.2">
      <c r="A9" t="s">
        <v>34</v>
      </c>
      <c r="B9">
        <v>0.75</v>
      </c>
      <c r="C9">
        <v>0.625</v>
      </c>
    </row>
    <row r="10" spans="1:3" x14ac:dyDescent="0.2">
      <c r="A10" t="s">
        <v>34</v>
      </c>
      <c r="B10">
        <v>1</v>
      </c>
      <c r="C10">
        <v>0.625</v>
      </c>
    </row>
    <row r="11" spans="1:3" x14ac:dyDescent="0.2">
      <c r="A11" t="s">
        <v>34</v>
      </c>
      <c r="B11">
        <v>1.25</v>
      </c>
      <c r="C11">
        <v>0.625</v>
      </c>
    </row>
    <row r="12" spans="1:3" x14ac:dyDescent="0.2">
      <c r="A12" t="s">
        <v>36</v>
      </c>
      <c r="B12">
        <v>5</v>
      </c>
      <c r="C12">
        <v>0.35398230088495569</v>
      </c>
    </row>
    <row r="13" spans="1:3" x14ac:dyDescent="0.2">
      <c r="A13" t="s">
        <v>36</v>
      </c>
      <c r="B13">
        <v>10</v>
      </c>
      <c r="C13">
        <v>0.37931034482758619</v>
      </c>
    </row>
    <row r="14" spans="1:3" x14ac:dyDescent="0.2">
      <c r="A14" t="s">
        <v>36</v>
      </c>
      <c r="B14">
        <v>15</v>
      </c>
      <c r="C14">
        <v>0.515625</v>
      </c>
    </row>
    <row r="15" spans="1:3" x14ac:dyDescent="0.2">
      <c r="A15" t="s">
        <v>36</v>
      </c>
      <c r="B15">
        <v>20</v>
      </c>
      <c r="C15">
        <v>0.59259259259259256</v>
      </c>
    </row>
    <row r="16" spans="1:3" x14ac:dyDescent="0.2">
      <c r="A16" t="s">
        <v>36</v>
      </c>
      <c r="B16">
        <v>25</v>
      </c>
      <c r="C16">
        <v>0.61313868613138678</v>
      </c>
    </row>
    <row r="17" spans="1:3" x14ac:dyDescent="0.2">
      <c r="A17" t="s">
        <v>37</v>
      </c>
      <c r="B17">
        <v>5</v>
      </c>
      <c r="C17">
        <v>0.66666666666666652</v>
      </c>
    </row>
    <row r="18" spans="1:3" x14ac:dyDescent="0.2">
      <c r="A18" t="s">
        <v>37</v>
      </c>
      <c r="B18">
        <v>10</v>
      </c>
      <c r="C18">
        <v>0.66666666666666652</v>
      </c>
    </row>
    <row r="19" spans="1:3" x14ac:dyDescent="0.2">
      <c r="A19" t="s">
        <v>37</v>
      </c>
      <c r="B19">
        <v>15</v>
      </c>
      <c r="C19">
        <v>0.66666666666666652</v>
      </c>
    </row>
    <row r="20" spans="1:3" x14ac:dyDescent="0.2">
      <c r="A20" t="s">
        <v>37</v>
      </c>
      <c r="B20">
        <v>20</v>
      </c>
      <c r="C20">
        <v>0.66666666666666652</v>
      </c>
    </row>
    <row r="21" spans="1:3" x14ac:dyDescent="0.2">
      <c r="A21" t="s">
        <v>37</v>
      </c>
      <c r="B21">
        <v>25</v>
      </c>
      <c r="C21">
        <v>0.66666666666666652</v>
      </c>
    </row>
    <row r="22" spans="1:3" x14ac:dyDescent="0.2">
      <c r="A22" t="s">
        <v>38</v>
      </c>
      <c r="B22">
        <v>5</v>
      </c>
      <c r="C22">
        <v>0.4137931034482758</v>
      </c>
    </row>
    <row r="23" spans="1:3" x14ac:dyDescent="0.2">
      <c r="A23" t="s">
        <v>38</v>
      </c>
      <c r="B23">
        <v>10</v>
      </c>
      <c r="C23">
        <v>0.36363636363636359</v>
      </c>
    </row>
    <row r="24" spans="1:3" x14ac:dyDescent="0.2">
      <c r="A24" t="s">
        <v>38</v>
      </c>
      <c r="B24">
        <v>15</v>
      </c>
      <c r="C24">
        <v>0.4</v>
      </c>
    </row>
    <row r="25" spans="1:3" x14ac:dyDescent="0.2">
      <c r="A25" t="s">
        <v>38</v>
      </c>
      <c r="B25">
        <v>20</v>
      </c>
      <c r="C25">
        <v>0.3076923076923076</v>
      </c>
    </row>
    <row r="26" spans="1:3" x14ac:dyDescent="0.2">
      <c r="A26" t="s">
        <v>38</v>
      </c>
      <c r="B26">
        <v>25</v>
      </c>
      <c r="C26">
        <v>0.33333333333333331</v>
      </c>
    </row>
    <row r="27" spans="1:3" x14ac:dyDescent="0.2">
      <c r="A27" t="s">
        <v>39</v>
      </c>
      <c r="B27">
        <v>5</v>
      </c>
      <c r="C27">
        <v>0.26666666666666661</v>
      </c>
    </row>
    <row r="28" spans="1:3" x14ac:dyDescent="0.2">
      <c r="A28" t="s">
        <v>39</v>
      </c>
      <c r="B28">
        <v>10</v>
      </c>
      <c r="C28">
        <v>0.47058823529411759</v>
      </c>
    </row>
    <row r="29" spans="1:3" x14ac:dyDescent="0.2">
      <c r="A29" t="s">
        <v>39</v>
      </c>
      <c r="B29">
        <v>15</v>
      </c>
      <c r="C29">
        <v>0.47058823529411759</v>
      </c>
    </row>
    <row r="30" spans="1:3" x14ac:dyDescent="0.2">
      <c r="A30" t="s">
        <v>39</v>
      </c>
      <c r="B30">
        <v>20</v>
      </c>
      <c r="C30">
        <v>0.47058823529411759</v>
      </c>
    </row>
    <row r="31" spans="1:3" x14ac:dyDescent="0.2">
      <c r="A31" t="s">
        <v>39</v>
      </c>
      <c r="B31">
        <v>25</v>
      </c>
      <c r="C31">
        <v>0.44444444444444442</v>
      </c>
    </row>
    <row r="32" spans="1:3" x14ac:dyDescent="0.2">
      <c r="A32" t="s">
        <v>40</v>
      </c>
      <c r="B32">
        <v>5</v>
      </c>
      <c r="C32">
        <v>0.92767295597484278</v>
      </c>
    </row>
    <row r="33" spans="1:3" x14ac:dyDescent="0.2">
      <c r="A33" t="s">
        <v>40</v>
      </c>
      <c r="B33">
        <v>10</v>
      </c>
      <c r="C33">
        <v>0.94316436251920122</v>
      </c>
    </row>
    <row r="34" spans="1:3" x14ac:dyDescent="0.2">
      <c r="A34" t="s">
        <v>40</v>
      </c>
      <c r="B34">
        <v>15</v>
      </c>
      <c r="C34">
        <v>0.96206373292867964</v>
      </c>
    </row>
    <row r="35" spans="1:3" x14ac:dyDescent="0.2">
      <c r="A35" t="s">
        <v>40</v>
      </c>
      <c r="B35">
        <v>20</v>
      </c>
      <c r="C35">
        <v>0.95639097744360879</v>
      </c>
    </row>
    <row r="36" spans="1:3" x14ac:dyDescent="0.2">
      <c r="A36" t="s">
        <v>40</v>
      </c>
      <c r="B36">
        <v>25</v>
      </c>
      <c r="C36">
        <v>0.95639097744360879</v>
      </c>
    </row>
    <row r="37" spans="1:3" x14ac:dyDescent="0.2">
      <c r="A37" t="s">
        <v>41</v>
      </c>
      <c r="B37">
        <v>5</v>
      </c>
      <c r="C37">
        <v>0</v>
      </c>
    </row>
    <row r="38" spans="1:3" x14ac:dyDescent="0.2">
      <c r="A38" t="s">
        <v>41</v>
      </c>
      <c r="B38">
        <v>10</v>
      </c>
      <c r="C38">
        <v>0</v>
      </c>
    </row>
    <row r="39" spans="1:3" x14ac:dyDescent="0.2">
      <c r="A39" t="s">
        <v>41</v>
      </c>
      <c r="B39">
        <v>15</v>
      </c>
      <c r="C39">
        <v>0</v>
      </c>
    </row>
    <row r="40" spans="1:3" x14ac:dyDescent="0.2">
      <c r="A40" t="s">
        <v>41</v>
      </c>
      <c r="B40">
        <v>20</v>
      </c>
      <c r="C40">
        <v>0</v>
      </c>
    </row>
    <row r="41" spans="1:3" x14ac:dyDescent="0.2">
      <c r="A41" t="s">
        <v>41</v>
      </c>
      <c r="B41">
        <v>25</v>
      </c>
      <c r="C41">
        <v>0</v>
      </c>
    </row>
    <row r="42" spans="1:3" x14ac:dyDescent="0.2">
      <c r="A42" t="s">
        <v>42</v>
      </c>
      <c r="B42">
        <v>5</v>
      </c>
      <c r="C42">
        <v>3.38983050847457E-2</v>
      </c>
    </row>
    <row r="43" spans="1:3" x14ac:dyDescent="0.2">
      <c r="A43" t="s">
        <v>42</v>
      </c>
      <c r="B43">
        <v>10</v>
      </c>
      <c r="C43">
        <v>0.1058201058201058</v>
      </c>
    </row>
    <row r="44" spans="1:3" x14ac:dyDescent="0.2">
      <c r="A44" t="s">
        <v>42</v>
      </c>
      <c r="B44">
        <v>15</v>
      </c>
      <c r="C44">
        <v>9.4240837696334998E-2</v>
      </c>
    </row>
    <row r="45" spans="1:3" x14ac:dyDescent="0.2">
      <c r="A45" t="s">
        <v>42</v>
      </c>
      <c r="B45">
        <v>20</v>
      </c>
      <c r="C45">
        <v>0.09</v>
      </c>
    </row>
    <row r="46" spans="1:3" x14ac:dyDescent="0.2">
      <c r="A46" t="s">
        <v>42</v>
      </c>
      <c r="B46">
        <v>25</v>
      </c>
      <c r="C46">
        <v>6.8965517241379296E-2</v>
      </c>
    </row>
    <row r="47" spans="1:3" x14ac:dyDescent="0.2">
      <c r="A47" t="s">
        <v>43</v>
      </c>
      <c r="B47">
        <v>5</v>
      </c>
      <c r="C47">
        <v>0.69387755102040816</v>
      </c>
    </row>
    <row r="48" spans="1:3" x14ac:dyDescent="0.2">
      <c r="A48" t="s">
        <v>43</v>
      </c>
      <c r="B48">
        <v>10</v>
      </c>
      <c r="C48">
        <v>0.77551020408163263</v>
      </c>
    </row>
    <row r="49" spans="1:3" x14ac:dyDescent="0.2">
      <c r="A49" t="s">
        <v>43</v>
      </c>
      <c r="B49">
        <v>15</v>
      </c>
      <c r="C49">
        <v>0.77551020408163263</v>
      </c>
    </row>
    <row r="50" spans="1:3" x14ac:dyDescent="0.2">
      <c r="A50" t="s">
        <v>43</v>
      </c>
      <c r="B50">
        <v>20</v>
      </c>
      <c r="C50">
        <v>0.77551020408163263</v>
      </c>
    </row>
    <row r="51" spans="1:3" x14ac:dyDescent="0.2">
      <c r="A51" t="s">
        <v>43</v>
      </c>
      <c r="B51">
        <v>25</v>
      </c>
      <c r="C51">
        <v>0.77551020408163263</v>
      </c>
    </row>
    <row r="52" spans="1:3" x14ac:dyDescent="0.2">
      <c r="A52" t="s">
        <v>45</v>
      </c>
      <c r="B52">
        <v>5</v>
      </c>
      <c r="C52">
        <v>0</v>
      </c>
    </row>
    <row r="53" spans="1:3" x14ac:dyDescent="0.2">
      <c r="A53" t="s">
        <v>45</v>
      </c>
      <c r="B53">
        <v>10</v>
      </c>
      <c r="C53">
        <v>0.66666666666666696</v>
      </c>
    </row>
    <row r="54" spans="1:3" x14ac:dyDescent="0.2">
      <c r="A54" t="s">
        <v>45</v>
      </c>
      <c r="B54">
        <v>15</v>
      </c>
      <c r="C54">
        <v>0.66666666666666696</v>
      </c>
    </row>
    <row r="55" spans="1:3" x14ac:dyDescent="0.2">
      <c r="A55" t="s">
        <v>45</v>
      </c>
      <c r="B55">
        <v>20</v>
      </c>
      <c r="C55">
        <v>1</v>
      </c>
    </row>
    <row r="56" spans="1:3" x14ac:dyDescent="0.2">
      <c r="A56" t="s">
        <v>45</v>
      </c>
      <c r="B56">
        <v>25</v>
      </c>
      <c r="C56">
        <v>1</v>
      </c>
    </row>
    <row r="57" spans="1:3" x14ac:dyDescent="0.2">
      <c r="A57" t="s">
        <v>46</v>
      </c>
      <c r="B57">
        <v>5</v>
      </c>
      <c r="C57">
        <v>0</v>
      </c>
    </row>
    <row r="58" spans="1:3" x14ac:dyDescent="0.2">
      <c r="A58" t="s">
        <v>46</v>
      </c>
      <c r="B58">
        <v>10</v>
      </c>
      <c r="C58">
        <v>0.82352941176470595</v>
      </c>
    </row>
    <row r="59" spans="1:3" x14ac:dyDescent="0.2">
      <c r="A59" t="s">
        <v>46</v>
      </c>
      <c r="B59">
        <v>15</v>
      </c>
      <c r="C59">
        <v>0</v>
      </c>
    </row>
    <row r="60" spans="1:3" x14ac:dyDescent="0.2">
      <c r="A60" t="s">
        <v>46</v>
      </c>
      <c r="B60">
        <v>20</v>
      </c>
      <c r="C60">
        <v>0.7</v>
      </c>
    </row>
    <row r="61" spans="1:3" x14ac:dyDescent="0.2">
      <c r="A61" t="s">
        <v>46</v>
      </c>
      <c r="B61">
        <v>25</v>
      </c>
      <c r="C61">
        <v>0</v>
      </c>
    </row>
    <row r="62" spans="1:3" x14ac:dyDescent="0.2">
      <c r="A62" t="s">
        <v>47</v>
      </c>
      <c r="B62">
        <v>5</v>
      </c>
      <c r="C62">
        <v>0</v>
      </c>
    </row>
    <row r="63" spans="1:3" x14ac:dyDescent="0.2">
      <c r="A63" t="s">
        <v>47</v>
      </c>
      <c r="B63">
        <v>10</v>
      </c>
      <c r="C63">
        <v>1</v>
      </c>
    </row>
    <row r="64" spans="1:3" x14ac:dyDescent="0.2">
      <c r="A64" t="s">
        <v>47</v>
      </c>
      <c r="B64">
        <v>15</v>
      </c>
      <c r="C64">
        <v>1</v>
      </c>
    </row>
    <row r="65" spans="1:3" x14ac:dyDescent="0.2">
      <c r="A65" t="s">
        <v>47</v>
      </c>
      <c r="B65">
        <v>20</v>
      </c>
      <c r="C65">
        <v>1</v>
      </c>
    </row>
    <row r="66" spans="1:3" x14ac:dyDescent="0.2">
      <c r="A66" t="s">
        <v>47</v>
      </c>
      <c r="B66">
        <v>25</v>
      </c>
      <c r="C66">
        <v>1</v>
      </c>
    </row>
    <row r="67" spans="1:3" x14ac:dyDescent="0.2">
      <c r="A67" t="s">
        <v>48</v>
      </c>
      <c r="B67">
        <v>5</v>
      </c>
      <c r="C67">
        <v>0.69565217391304401</v>
      </c>
    </row>
    <row r="68" spans="1:3" x14ac:dyDescent="0.2">
      <c r="A68" t="s">
        <v>48</v>
      </c>
      <c r="B68">
        <v>10</v>
      </c>
      <c r="C68">
        <v>0.66666666666666696</v>
      </c>
    </row>
    <row r="69" spans="1:3" x14ac:dyDescent="0.2">
      <c r="A69" t="s">
        <v>48</v>
      </c>
      <c r="B69">
        <v>15</v>
      </c>
      <c r="C69">
        <v>0.66666666666666696</v>
      </c>
    </row>
    <row r="70" spans="1:3" x14ac:dyDescent="0.2">
      <c r="A70" t="s">
        <v>48</v>
      </c>
      <c r="B70">
        <v>20</v>
      </c>
      <c r="C70">
        <v>0.66666666666666696</v>
      </c>
    </row>
    <row r="71" spans="1:3" x14ac:dyDescent="0.2">
      <c r="A71" t="s">
        <v>48</v>
      </c>
      <c r="B71">
        <v>25</v>
      </c>
      <c r="C71">
        <v>0.66666666666666696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26"/>
  <sheetViews>
    <sheetView zoomScale="150" workbookViewId="0">
      <selection activeCell="F149" sqref="F149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72</v>
      </c>
      <c r="C1" t="s">
        <v>77</v>
      </c>
      <c r="D1" t="s">
        <v>442</v>
      </c>
      <c r="E1" t="s">
        <v>450</v>
      </c>
    </row>
    <row r="2" spans="1:5" x14ac:dyDescent="0.2">
      <c r="A2" t="s">
        <v>43</v>
      </c>
      <c r="B2" t="s">
        <v>509</v>
      </c>
      <c r="C2">
        <v>5</v>
      </c>
      <c r="D2">
        <v>0.69387755102040805</v>
      </c>
      <c r="E2">
        <v>6.53</v>
      </c>
    </row>
    <row r="3" spans="1:5" x14ac:dyDescent="0.2">
      <c r="A3" t="s">
        <v>43</v>
      </c>
      <c r="B3" t="s">
        <v>509</v>
      </c>
      <c r="C3">
        <v>10</v>
      </c>
      <c r="D3">
        <v>0.75510204081632704</v>
      </c>
      <c r="E3">
        <v>4.17</v>
      </c>
    </row>
    <row r="4" spans="1:5" x14ac:dyDescent="0.2">
      <c r="A4" t="s">
        <v>43</v>
      </c>
      <c r="B4" t="s">
        <v>509</v>
      </c>
      <c r="C4">
        <v>15</v>
      </c>
      <c r="D4">
        <v>0.77551020408163296</v>
      </c>
      <c r="E4">
        <v>4.66</v>
      </c>
    </row>
    <row r="5" spans="1:5" x14ac:dyDescent="0.2">
      <c r="A5" t="s">
        <v>43</v>
      </c>
      <c r="B5" t="s">
        <v>509</v>
      </c>
      <c r="C5">
        <v>20</v>
      </c>
      <c r="D5">
        <v>0.77551020408163296</v>
      </c>
      <c r="E5">
        <v>6.18</v>
      </c>
    </row>
    <row r="6" spans="1:5" x14ac:dyDescent="0.2">
      <c r="A6" t="s">
        <v>43</v>
      </c>
      <c r="B6" t="s">
        <v>509</v>
      </c>
      <c r="C6">
        <v>25</v>
      </c>
      <c r="D6">
        <v>0.77551020408163296</v>
      </c>
      <c r="E6">
        <v>7.38</v>
      </c>
    </row>
    <row r="7" spans="1:5" x14ac:dyDescent="0.2">
      <c r="A7" t="s">
        <v>43</v>
      </c>
      <c r="B7" t="s">
        <v>265</v>
      </c>
      <c r="C7">
        <v>5</v>
      </c>
      <c r="D7">
        <v>0.65306122448979598</v>
      </c>
      <c r="E7">
        <v>2.0699999999999998</v>
      </c>
    </row>
    <row r="8" spans="1:5" x14ac:dyDescent="0.2">
      <c r="A8" t="s">
        <v>43</v>
      </c>
      <c r="B8" t="s">
        <v>265</v>
      </c>
      <c r="C8">
        <v>10</v>
      </c>
      <c r="D8">
        <v>0.73469387755102</v>
      </c>
      <c r="E8">
        <v>3.29</v>
      </c>
    </row>
    <row r="9" spans="1:5" x14ac:dyDescent="0.2">
      <c r="A9" t="s">
        <v>43</v>
      </c>
      <c r="B9" t="s">
        <v>265</v>
      </c>
      <c r="C9">
        <v>15</v>
      </c>
      <c r="D9">
        <v>0.73469387755102</v>
      </c>
      <c r="E9">
        <v>4.29</v>
      </c>
    </row>
    <row r="10" spans="1:5" x14ac:dyDescent="0.2">
      <c r="A10" t="s">
        <v>43</v>
      </c>
      <c r="B10" t="s">
        <v>265</v>
      </c>
      <c r="C10">
        <v>20</v>
      </c>
      <c r="D10">
        <v>0.67346938775510201</v>
      </c>
      <c r="E10">
        <v>5.92</v>
      </c>
    </row>
    <row r="11" spans="1:5" x14ac:dyDescent="0.2">
      <c r="A11" t="s">
        <v>43</v>
      </c>
      <c r="B11" t="s">
        <v>265</v>
      </c>
      <c r="C11">
        <v>25</v>
      </c>
      <c r="D11">
        <v>0.63265306122449005</v>
      </c>
      <c r="E11">
        <v>6.72</v>
      </c>
    </row>
    <row r="12" spans="1:5" x14ac:dyDescent="0.2">
      <c r="A12" t="s">
        <v>43</v>
      </c>
      <c r="B12" t="s">
        <v>254</v>
      </c>
      <c r="C12">
        <v>5</v>
      </c>
      <c r="D12">
        <v>2.04081632653061E-2</v>
      </c>
      <c r="E12">
        <v>2.59</v>
      </c>
    </row>
    <row r="13" spans="1:5" x14ac:dyDescent="0.2">
      <c r="A13" t="s">
        <v>43</v>
      </c>
      <c r="B13" t="s">
        <v>254</v>
      </c>
      <c r="C13">
        <v>10</v>
      </c>
      <c r="D13">
        <v>6.1224489795918297E-2</v>
      </c>
      <c r="E13">
        <v>4.51</v>
      </c>
    </row>
    <row r="14" spans="1:5" x14ac:dyDescent="0.2">
      <c r="A14" t="s">
        <v>43</v>
      </c>
      <c r="B14" t="s">
        <v>254</v>
      </c>
      <c r="C14">
        <v>15</v>
      </c>
      <c r="D14">
        <v>8.1632653061224497E-2</v>
      </c>
      <c r="E14">
        <v>6.81</v>
      </c>
    </row>
    <row r="15" spans="1:5" x14ac:dyDescent="0.2">
      <c r="A15" t="s">
        <v>43</v>
      </c>
      <c r="B15" t="s">
        <v>254</v>
      </c>
      <c r="C15">
        <v>20</v>
      </c>
      <c r="D15">
        <v>0.16326530612244899</v>
      </c>
      <c r="E15">
        <v>8.94</v>
      </c>
    </row>
    <row r="16" spans="1:5" x14ac:dyDescent="0.2">
      <c r="A16" t="s">
        <v>43</v>
      </c>
      <c r="B16" t="s">
        <v>254</v>
      </c>
      <c r="C16">
        <v>25</v>
      </c>
      <c r="D16">
        <v>0.22448979591836701</v>
      </c>
      <c r="E16">
        <v>11.86</v>
      </c>
    </row>
    <row r="17" spans="1:5" x14ac:dyDescent="0.2">
      <c r="A17" t="s">
        <v>43</v>
      </c>
      <c r="B17" t="s">
        <v>276</v>
      </c>
      <c r="C17">
        <v>5</v>
      </c>
      <c r="D17">
        <v>0</v>
      </c>
      <c r="E17">
        <v>2.1800000000000002</v>
      </c>
    </row>
    <row r="18" spans="1:5" x14ac:dyDescent="0.2">
      <c r="A18" t="s">
        <v>43</v>
      </c>
      <c r="B18" t="s">
        <v>276</v>
      </c>
      <c r="C18">
        <v>10</v>
      </c>
      <c r="D18">
        <v>0</v>
      </c>
      <c r="E18">
        <v>4.6100000000000003</v>
      </c>
    </row>
    <row r="19" spans="1:5" x14ac:dyDescent="0.2">
      <c r="A19" t="s">
        <v>43</v>
      </c>
      <c r="B19" t="s">
        <v>276</v>
      </c>
      <c r="C19">
        <v>15</v>
      </c>
      <c r="D19">
        <v>0</v>
      </c>
      <c r="E19">
        <v>6.49</v>
      </c>
    </row>
    <row r="20" spans="1:5" x14ac:dyDescent="0.2">
      <c r="A20" t="s">
        <v>43</v>
      </c>
      <c r="B20" t="s">
        <v>276</v>
      </c>
      <c r="C20">
        <v>20</v>
      </c>
      <c r="D20">
        <v>0</v>
      </c>
      <c r="E20">
        <v>8.69</v>
      </c>
    </row>
    <row r="21" spans="1:5" x14ac:dyDescent="0.2">
      <c r="A21" t="s">
        <v>43</v>
      </c>
      <c r="B21" t="s">
        <v>276</v>
      </c>
      <c r="C21">
        <v>25</v>
      </c>
      <c r="D21">
        <v>0</v>
      </c>
      <c r="E21">
        <v>11.44</v>
      </c>
    </row>
    <row r="22" spans="1:5" x14ac:dyDescent="0.2">
      <c r="A22" t="s">
        <v>40</v>
      </c>
      <c r="B22" t="s">
        <v>510</v>
      </c>
      <c r="C22">
        <v>100</v>
      </c>
      <c r="D22">
        <v>0.97653958944281505</v>
      </c>
    </row>
    <row r="23" spans="1:5" x14ac:dyDescent="0.2">
      <c r="A23" t="s">
        <v>40</v>
      </c>
      <c r="B23" t="s">
        <v>509</v>
      </c>
      <c r="C23">
        <v>0.25</v>
      </c>
      <c r="D23">
        <v>0.71847507331378302</v>
      </c>
    </row>
    <row r="24" spans="1:5" x14ac:dyDescent="0.2">
      <c r="A24" t="s">
        <v>40</v>
      </c>
      <c r="B24" t="s">
        <v>509</v>
      </c>
      <c r="C24">
        <v>0.5</v>
      </c>
      <c r="D24">
        <v>0.93255131964809401</v>
      </c>
    </row>
    <row r="25" spans="1:5" x14ac:dyDescent="0.2">
      <c r="A25" t="s">
        <v>40</v>
      </c>
      <c r="B25" t="s">
        <v>509</v>
      </c>
      <c r="C25">
        <v>0.75</v>
      </c>
      <c r="D25">
        <v>0.92961876832844603</v>
      </c>
    </row>
    <row r="26" spans="1:5" x14ac:dyDescent="0.2">
      <c r="A26" t="s">
        <v>40</v>
      </c>
      <c r="B26" t="s">
        <v>509</v>
      </c>
      <c r="C26">
        <v>1</v>
      </c>
      <c r="D26">
        <v>0.99413489736070404</v>
      </c>
    </row>
    <row r="27" spans="1:5" x14ac:dyDescent="0.2">
      <c r="A27" t="s">
        <v>40</v>
      </c>
      <c r="B27" t="s">
        <v>509</v>
      </c>
      <c r="C27">
        <v>1.25</v>
      </c>
      <c r="D27">
        <v>0.97067448680351898</v>
      </c>
    </row>
    <row r="28" spans="1:5" x14ac:dyDescent="0.2">
      <c r="A28" t="s">
        <v>40</v>
      </c>
      <c r="B28" t="s">
        <v>509</v>
      </c>
      <c r="C28">
        <v>5</v>
      </c>
      <c r="E28">
        <v>5.39</v>
      </c>
    </row>
    <row r="29" spans="1:5" x14ac:dyDescent="0.2">
      <c r="A29" t="s">
        <v>40</v>
      </c>
      <c r="B29" t="s">
        <v>509</v>
      </c>
      <c r="C29">
        <v>10</v>
      </c>
      <c r="E29">
        <v>3.27</v>
      </c>
    </row>
    <row r="30" spans="1:5" x14ac:dyDescent="0.2">
      <c r="A30" t="s">
        <v>40</v>
      </c>
      <c r="B30" t="s">
        <v>509</v>
      </c>
      <c r="C30">
        <v>15</v>
      </c>
      <c r="E30">
        <v>3.17</v>
      </c>
    </row>
    <row r="31" spans="1:5" x14ac:dyDescent="0.2">
      <c r="A31" t="s">
        <v>40</v>
      </c>
      <c r="B31" t="s">
        <v>509</v>
      </c>
      <c r="C31">
        <v>20</v>
      </c>
      <c r="E31">
        <v>6.6</v>
      </c>
    </row>
    <row r="32" spans="1:5" x14ac:dyDescent="0.2">
      <c r="A32" t="s">
        <v>40</v>
      </c>
      <c r="B32" t="s">
        <v>509</v>
      </c>
      <c r="C32">
        <v>25</v>
      </c>
      <c r="E32">
        <v>5.32</v>
      </c>
    </row>
    <row r="33" spans="1:5" x14ac:dyDescent="0.2">
      <c r="A33" t="s">
        <v>40</v>
      </c>
      <c r="B33" t="s">
        <v>265</v>
      </c>
      <c r="C33">
        <v>0.25</v>
      </c>
      <c r="D33">
        <v>0.99853157121879599</v>
      </c>
    </row>
    <row r="34" spans="1:5" x14ac:dyDescent="0.2">
      <c r="A34" t="s">
        <v>40</v>
      </c>
      <c r="B34" t="s">
        <v>265</v>
      </c>
      <c r="C34">
        <v>0.5</v>
      </c>
      <c r="D34">
        <v>0.96480938416422302</v>
      </c>
    </row>
    <row r="35" spans="1:5" x14ac:dyDescent="0.2">
      <c r="A35" t="s">
        <v>40</v>
      </c>
      <c r="B35" t="s">
        <v>265</v>
      </c>
      <c r="C35">
        <v>0.75</v>
      </c>
      <c r="D35">
        <v>0.99120234604105595</v>
      </c>
    </row>
    <row r="36" spans="1:5" x14ac:dyDescent="0.2">
      <c r="A36" t="s">
        <v>40</v>
      </c>
      <c r="B36" t="s">
        <v>265</v>
      </c>
      <c r="C36">
        <v>1</v>
      </c>
      <c r="D36">
        <v>1</v>
      </c>
    </row>
    <row r="37" spans="1:5" x14ac:dyDescent="0.2">
      <c r="A37" t="s">
        <v>40</v>
      </c>
      <c r="B37" t="s">
        <v>265</v>
      </c>
      <c r="C37">
        <v>1.25</v>
      </c>
      <c r="D37">
        <v>0.99413489736070404</v>
      </c>
    </row>
    <row r="38" spans="1:5" x14ac:dyDescent="0.2">
      <c r="A38" t="s">
        <v>40</v>
      </c>
      <c r="B38" t="s">
        <v>265</v>
      </c>
      <c r="C38">
        <v>5</v>
      </c>
      <c r="E38">
        <v>2.04</v>
      </c>
    </row>
    <row r="39" spans="1:5" x14ac:dyDescent="0.2">
      <c r="A39" t="s">
        <v>40</v>
      </c>
      <c r="B39" t="s">
        <v>265</v>
      </c>
      <c r="C39">
        <v>10</v>
      </c>
      <c r="E39">
        <v>2.99</v>
      </c>
    </row>
    <row r="40" spans="1:5" x14ac:dyDescent="0.2">
      <c r="A40" t="s">
        <v>40</v>
      </c>
      <c r="B40" t="s">
        <v>265</v>
      </c>
      <c r="C40">
        <v>15</v>
      </c>
      <c r="E40">
        <v>3.17</v>
      </c>
    </row>
    <row r="41" spans="1:5" x14ac:dyDescent="0.2">
      <c r="A41" t="s">
        <v>40</v>
      </c>
      <c r="B41" t="s">
        <v>265</v>
      </c>
      <c r="C41">
        <v>20</v>
      </c>
      <c r="E41">
        <v>6.31</v>
      </c>
    </row>
    <row r="42" spans="1:5" x14ac:dyDescent="0.2">
      <c r="A42" t="s">
        <v>40</v>
      </c>
      <c r="B42" t="s">
        <v>265</v>
      </c>
      <c r="C42">
        <v>25</v>
      </c>
      <c r="E42">
        <v>4.97</v>
      </c>
    </row>
    <row r="43" spans="1:5" x14ac:dyDescent="0.2">
      <c r="A43" t="s">
        <v>40</v>
      </c>
      <c r="B43" t="s">
        <v>186</v>
      </c>
      <c r="C43">
        <v>100</v>
      </c>
      <c r="E43">
        <v>52.18</v>
      </c>
    </row>
    <row r="44" spans="1:5" x14ac:dyDescent="0.2">
      <c r="A44" t="s">
        <v>40</v>
      </c>
      <c r="B44" t="s">
        <v>254</v>
      </c>
      <c r="C44">
        <v>0.25</v>
      </c>
      <c r="D44">
        <v>0.65395894428152501</v>
      </c>
    </row>
    <row r="45" spans="1:5" x14ac:dyDescent="0.2">
      <c r="A45" t="s">
        <v>40</v>
      </c>
      <c r="B45" t="s">
        <v>254</v>
      </c>
      <c r="C45">
        <v>0.5</v>
      </c>
      <c r="D45">
        <v>0.88856304985337198</v>
      </c>
    </row>
    <row r="46" spans="1:5" x14ac:dyDescent="0.2">
      <c r="A46" t="s">
        <v>40</v>
      </c>
      <c r="B46" t="s">
        <v>254</v>
      </c>
      <c r="C46">
        <v>0.75</v>
      </c>
      <c r="D46">
        <v>0.86510263929618803</v>
      </c>
    </row>
    <row r="47" spans="1:5" x14ac:dyDescent="0.2">
      <c r="A47" t="s">
        <v>40</v>
      </c>
      <c r="B47" t="s">
        <v>254</v>
      </c>
      <c r="C47">
        <v>1</v>
      </c>
      <c r="D47">
        <v>0.94428152492668604</v>
      </c>
    </row>
    <row r="48" spans="1:5" x14ac:dyDescent="0.2">
      <c r="A48" t="s">
        <v>40</v>
      </c>
      <c r="B48" t="s">
        <v>254</v>
      </c>
      <c r="C48">
        <v>1.25</v>
      </c>
      <c r="D48">
        <v>0.90909090909090895</v>
      </c>
    </row>
    <row r="49" spans="1:5" x14ac:dyDescent="0.2">
      <c r="A49" t="s">
        <v>40</v>
      </c>
      <c r="B49" t="s">
        <v>254</v>
      </c>
      <c r="C49">
        <v>5</v>
      </c>
      <c r="E49">
        <v>3.35</v>
      </c>
    </row>
    <row r="50" spans="1:5" x14ac:dyDescent="0.2">
      <c r="A50" t="s">
        <v>40</v>
      </c>
      <c r="B50" t="s">
        <v>254</v>
      </c>
      <c r="C50">
        <v>10</v>
      </c>
      <c r="E50">
        <v>4.22</v>
      </c>
    </row>
    <row r="51" spans="1:5" x14ac:dyDescent="0.2">
      <c r="A51" t="s">
        <v>40</v>
      </c>
      <c r="B51" t="s">
        <v>254</v>
      </c>
      <c r="C51">
        <v>15</v>
      </c>
      <c r="E51">
        <v>5.97</v>
      </c>
    </row>
    <row r="52" spans="1:5" x14ac:dyDescent="0.2">
      <c r="A52" t="s">
        <v>40</v>
      </c>
      <c r="B52" t="s">
        <v>254</v>
      </c>
      <c r="C52">
        <v>20</v>
      </c>
      <c r="E52">
        <v>8</v>
      </c>
    </row>
    <row r="53" spans="1:5" x14ac:dyDescent="0.2">
      <c r="A53" t="s">
        <v>40</v>
      </c>
      <c r="B53" t="s">
        <v>254</v>
      </c>
      <c r="C53">
        <v>25</v>
      </c>
      <c r="E53">
        <v>8.56</v>
      </c>
    </row>
    <row r="54" spans="1:5" x14ac:dyDescent="0.2">
      <c r="A54" t="s">
        <v>40</v>
      </c>
      <c r="B54" t="s">
        <v>276</v>
      </c>
      <c r="C54">
        <v>0.25</v>
      </c>
      <c r="D54">
        <v>0.90853157121879602</v>
      </c>
    </row>
    <row r="55" spans="1:5" x14ac:dyDescent="0.2">
      <c r="A55" t="s">
        <v>40</v>
      </c>
      <c r="B55" t="s">
        <v>276</v>
      </c>
      <c r="C55">
        <v>0.5</v>
      </c>
      <c r="D55">
        <v>0.92961876832844603</v>
      </c>
    </row>
    <row r="56" spans="1:5" x14ac:dyDescent="0.2">
      <c r="A56" t="s">
        <v>40</v>
      </c>
      <c r="B56" t="s">
        <v>276</v>
      </c>
      <c r="C56">
        <v>0.75</v>
      </c>
      <c r="D56">
        <v>0.950146627565982</v>
      </c>
    </row>
    <row r="57" spans="1:5" x14ac:dyDescent="0.2">
      <c r="A57" t="s">
        <v>40</v>
      </c>
      <c r="B57" t="s">
        <v>276</v>
      </c>
      <c r="C57">
        <v>1</v>
      </c>
      <c r="D57">
        <v>0.98533724340175999</v>
      </c>
    </row>
    <row r="58" spans="1:5" x14ac:dyDescent="0.2">
      <c r="A58" t="s">
        <v>40</v>
      </c>
      <c r="B58" t="s">
        <v>276</v>
      </c>
      <c r="C58">
        <v>1.25</v>
      </c>
      <c r="D58">
        <v>0.95601173020527896</v>
      </c>
    </row>
    <row r="59" spans="1:5" x14ac:dyDescent="0.2">
      <c r="A59" t="s">
        <v>40</v>
      </c>
      <c r="B59" t="s">
        <v>276</v>
      </c>
      <c r="C59">
        <v>5</v>
      </c>
      <c r="E59">
        <v>3.07</v>
      </c>
    </row>
    <row r="60" spans="1:5" x14ac:dyDescent="0.2">
      <c r="A60" t="s">
        <v>40</v>
      </c>
      <c r="B60" t="s">
        <v>276</v>
      </c>
      <c r="C60">
        <v>10</v>
      </c>
      <c r="E60">
        <v>4.24</v>
      </c>
    </row>
    <row r="61" spans="1:5" x14ac:dyDescent="0.2">
      <c r="A61" t="s">
        <v>40</v>
      </c>
      <c r="B61" t="s">
        <v>276</v>
      </c>
      <c r="C61">
        <v>15</v>
      </c>
      <c r="E61">
        <v>6.07</v>
      </c>
    </row>
    <row r="62" spans="1:5" x14ac:dyDescent="0.2">
      <c r="A62" t="s">
        <v>40</v>
      </c>
      <c r="B62" t="s">
        <v>276</v>
      </c>
      <c r="C62">
        <v>20</v>
      </c>
      <c r="E62">
        <v>7.68</v>
      </c>
    </row>
    <row r="63" spans="1:5" x14ac:dyDescent="0.2">
      <c r="A63" t="s">
        <v>40</v>
      </c>
      <c r="B63" t="s">
        <v>276</v>
      </c>
      <c r="C63">
        <v>25</v>
      </c>
      <c r="E63">
        <v>8.68</v>
      </c>
    </row>
    <row r="64" spans="1:5" x14ac:dyDescent="0.2">
      <c r="A64" t="s">
        <v>41</v>
      </c>
      <c r="B64" t="s">
        <v>510</v>
      </c>
      <c r="C64">
        <v>100</v>
      </c>
      <c r="D64">
        <v>0.969101082037087</v>
      </c>
    </row>
    <row r="65" spans="1:5" x14ac:dyDescent="0.2">
      <c r="A65" t="s">
        <v>41</v>
      </c>
      <c r="B65" t="s">
        <v>509</v>
      </c>
      <c r="C65">
        <v>0.25</v>
      </c>
      <c r="E65">
        <v>20.97</v>
      </c>
    </row>
    <row r="66" spans="1:5" x14ac:dyDescent="0.2">
      <c r="A66" t="s">
        <v>41</v>
      </c>
      <c r="B66" t="s">
        <v>509</v>
      </c>
      <c r="C66">
        <v>0.5</v>
      </c>
      <c r="E66">
        <v>23.57</v>
      </c>
    </row>
    <row r="67" spans="1:5" x14ac:dyDescent="0.2">
      <c r="A67" t="s">
        <v>41</v>
      </c>
      <c r="B67" t="s">
        <v>509</v>
      </c>
      <c r="C67">
        <v>0.75</v>
      </c>
      <c r="E67">
        <v>25.15</v>
      </c>
    </row>
    <row r="68" spans="1:5" x14ac:dyDescent="0.2">
      <c r="A68" t="s">
        <v>41</v>
      </c>
      <c r="B68" t="s">
        <v>509</v>
      </c>
      <c r="C68">
        <v>1</v>
      </c>
      <c r="E68">
        <v>21.71</v>
      </c>
    </row>
    <row r="69" spans="1:5" x14ac:dyDescent="0.2">
      <c r="A69" t="s">
        <v>41</v>
      </c>
      <c r="B69" t="s">
        <v>509</v>
      </c>
      <c r="C69">
        <v>1.25</v>
      </c>
      <c r="E69">
        <v>24.42</v>
      </c>
    </row>
    <row r="70" spans="1:5" x14ac:dyDescent="0.2">
      <c r="A70" t="s">
        <v>41</v>
      </c>
      <c r="B70" t="s">
        <v>509</v>
      </c>
      <c r="C70">
        <v>5</v>
      </c>
      <c r="D70">
        <v>0.92444880844965704</v>
      </c>
    </row>
    <row r="71" spans="1:5" x14ac:dyDescent="0.2">
      <c r="A71" t="s">
        <v>41</v>
      </c>
      <c r="B71" t="s">
        <v>509</v>
      </c>
      <c r="C71">
        <v>10</v>
      </c>
      <c r="D71">
        <v>0.99877047661367302</v>
      </c>
    </row>
    <row r="72" spans="1:5" x14ac:dyDescent="0.2">
      <c r="A72" t="s">
        <v>41</v>
      </c>
      <c r="B72" t="s">
        <v>509</v>
      </c>
      <c r="C72">
        <v>15</v>
      </c>
      <c r="D72">
        <v>0.99520549156981297</v>
      </c>
    </row>
    <row r="73" spans="1:5" x14ac:dyDescent="0.2">
      <c r="A73" t="s">
        <v>41</v>
      </c>
      <c r="B73" t="s">
        <v>509</v>
      </c>
      <c r="C73">
        <v>20</v>
      </c>
      <c r="D73">
        <v>0.99755073839805997</v>
      </c>
    </row>
    <row r="74" spans="1:5" x14ac:dyDescent="0.2">
      <c r="A74" t="s">
        <v>41</v>
      </c>
      <c r="B74" t="s">
        <v>509</v>
      </c>
      <c r="C74">
        <v>25</v>
      </c>
      <c r="D74">
        <v>0.98069427681997801</v>
      </c>
    </row>
    <row r="75" spans="1:5" x14ac:dyDescent="0.2">
      <c r="A75" t="s">
        <v>41</v>
      </c>
      <c r="B75" t="s">
        <v>265</v>
      </c>
      <c r="C75">
        <v>0.25</v>
      </c>
      <c r="E75">
        <v>17.86</v>
      </c>
    </row>
    <row r="76" spans="1:5" x14ac:dyDescent="0.2">
      <c r="A76" t="s">
        <v>41</v>
      </c>
      <c r="B76" t="s">
        <v>265</v>
      </c>
      <c r="C76">
        <v>0.5</v>
      </c>
      <c r="E76">
        <v>20.55</v>
      </c>
    </row>
    <row r="77" spans="1:5" x14ac:dyDescent="0.2">
      <c r="A77" t="s">
        <v>41</v>
      </c>
      <c r="B77" t="s">
        <v>265</v>
      </c>
      <c r="C77">
        <v>0.75</v>
      </c>
      <c r="E77">
        <v>22.35</v>
      </c>
    </row>
    <row r="78" spans="1:5" x14ac:dyDescent="0.2">
      <c r="A78" t="s">
        <v>41</v>
      </c>
      <c r="B78" t="s">
        <v>265</v>
      </c>
      <c r="C78">
        <v>1</v>
      </c>
      <c r="E78">
        <v>20.25</v>
      </c>
    </row>
    <row r="79" spans="1:5" x14ac:dyDescent="0.2">
      <c r="A79" t="s">
        <v>41</v>
      </c>
      <c r="B79" t="s">
        <v>265</v>
      </c>
      <c r="C79">
        <v>1.25</v>
      </c>
      <c r="E79">
        <v>23.52</v>
      </c>
    </row>
    <row r="80" spans="1:5" x14ac:dyDescent="0.2">
      <c r="A80" t="s">
        <v>41</v>
      </c>
      <c r="B80" t="s">
        <v>265</v>
      </c>
      <c r="C80">
        <v>5</v>
      </c>
      <c r="D80">
        <v>0.95776486564525998</v>
      </c>
    </row>
    <row r="81" spans="1:5" x14ac:dyDescent="0.2">
      <c r="A81" t="s">
        <v>41</v>
      </c>
      <c r="B81" t="s">
        <v>265</v>
      </c>
      <c r="C81">
        <v>10</v>
      </c>
      <c r="D81">
        <v>0.96568250001961597</v>
      </c>
    </row>
    <row r="82" spans="1:5" x14ac:dyDescent="0.2">
      <c r="A82" t="s">
        <v>41</v>
      </c>
      <c r="B82" t="s">
        <v>265</v>
      </c>
      <c r="C82">
        <v>15</v>
      </c>
      <c r="D82">
        <v>0.97436477543690803</v>
      </c>
    </row>
    <row r="83" spans="1:5" x14ac:dyDescent="0.2">
      <c r="A83" t="s">
        <v>41</v>
      </c>
      <c r="B83" t="s">
        <v>265</v>
      </c>
      <c r="C83">
        <v>20</v>
      </c>
      <c r="D83">
        <v>0.97183865885610299</v>
      </c>
    </row>
    <row r="84" spans="1:5" x14ac:dyDescent="0.2">
      <c r="A84" t="s">
        <v>41</v>
      </c>
      <c r="B84" t="s">
        <v>265</v>
      </c>
      <c r="C84">
        <v>25</v>
      </c>
      <c r="D84">
        <v>0.96842978435382299</v>
      </c>
    </row>
    <row r="85" spans="1:5" x14ac:dyDescent="0.2">
      <c r="A85" t="s">
        <v>41</v>
      </c>
      <c r="B85" t="s">
        <v>186</v>
      </c>
      <c r="C85">
        <v>100</v>
      </c>
      <c r="E85">
        <v>98.73</v>
      </c>
    </row>
    <row r="86" spans="1:5" x14ac:dyDescent="0.2">
      <c r="A86" t="s">
        <v>41</v>
      </c>
      <c r="B86" t="s">
        <v>254</v>
      </c>
      <c r="C86">
        <v>0.25</v>
      </c>
      <c r="E86">
        <v>17.88</v>
      </c>
    </row>
    <row r="87" spans="1:5" x14ac:dyDescent="0.2">
      <c r="A87" t="s">
        <v>41</v>
      </c>
      <c r="B87" t="s">
        <v>254</v>
      </c>
      <c r="C87">
        <v>0.5</v>
      </c>
      <c r="E87">
        <v>21.02</v>
      </c>
    </row>
    <row r="88" spans="1:5" x14ac:dyDescent="0.2">
      <c r="A88" t="s">
        <v>41</v>
      </c>
      <c r="B88" t="s">
        <v>254</v>
      </c>
      <c r="C88">
        <v>0.75</v>
      </c>
      <c r="E88">
        <v>23.96</v>
      </c>
    </row>
    <row r="89" spans="1:5" x14ac:dyDescent="0.2">
      <c r="A89" t="s">
        <v>41</v>
      </c>
      <c r="B89" t="s">
        <v>254</v>
      </c>
      <c r="C89">
        <v>1</v>
      </c>
      <c r="E89">
        <v>27.15</v>
      </c>
    </row>
    <row r="90" spans="1:5" x14ac:dyDescent="0.2">
      <c r="A90" t="s">
        <v>41</v>
      </c>
      <c r="B90" t="s">
        <v>254</v>
      </c>
      <c r="C90">
        <v>1.25</v>
      </c>
      <c r="E90">
        <v>31.14</v>
      </c>
    </row>
    <row r="91" spans="1:5" x14ac:dyDescent="0.2">
      <c r="A91" t="s">
        <v>41</v>
      </c>
      <c r="B91" t="s">
        <v>254</v>
      </c>
      <c r="C91">
        <v>5</v>
      </c>
      <c r="D91">
        <v>0.96964381111545195</v>
      </c>
    </row>
    <row r="92" spans="1:5" x14ac:dyDescent="0.2">
      <c r="A92" t="s">
        <v>41</v>
      </c>
      <c r="B92" t="s">
        <v>254</v>
      </c>
      <c r="C92">
        <v>10</v>
      </c>
      <c r="D92">
        <v>0.97416978174313296</v>
      </c>
    </row>
    <row r="93" spans="1:5" x14ac:dyDescent="0.2">
      <c r="A93" t="s">
        <v>41</v>
      </c>
      <c r="B93" t="s">
        <v>254</v>
      </c>
      <c r="C93">
        <v>15</v>
      </c>
      <c r="D93">
        <v>0.97304375131021903</v>
      </c>
    </row>
    <row r="94" spans="1:5" x14ac:dyDescent="0.2">
      <c r="A94" t="s">
        <v>41</v>
      </c>
      <c r="B94" t="s">
        <v>254</v>
      </c>
      <c r="C94">
        <v>20</v>
      </c>
      <c r="D94">
        <v>0.97522654804853004</v>
      </c>
    </row>
    <row r="95" spans="1:5" x14ac:dyDescent="0.2">
      <c r="A95" t="s">
        <v>41</v>
      </c>
      <c r="B95" t="s">
        <v>254</v>
      </c>
      <c r="C95">
        <v>25</v>
      </c>
      <c r="D95">
        <v>0.98298466517423999</v>
      </c>
    </row>
    <row r="96" spans="1:5" x14ac:dyDescent="0.2">
      <c r="A96" t="s">
        <v>41</v>
      </c>
      <c r="B96" t="s">
        <v>276</v>
      </c>
      <c r="C96">
        <v>0.25</v>
      </c>
      <c r="E96">
        <v>17.88</v>
      </c>
    </row>
    <row r="97" spans="1:5" x14ac:dyDescent="0.2">
      <c r="A97" t="s">
        <v>41</v>
      </c>
      <c r="B97" t="s">
        <v>276</v>
      </c>
      <c r="C97">
        <v>0.5</v>
      </c>
      <c r="E97">
        <v>20.56</v>
      </c>
    </row>
    <row r="98" spans="1:5" x14ac:dyDescent="0.2">
      <c r="A98" t="s">
        <v>41</v>
      </c>
      <c r="B98" t="s">
        <v>276</v>
      </c>
      <c r="C98">
        <v>0.75</v>
      </c>
      <c r="E98">
        <v>23.81</v>
      </c>
    </row>
    <row r="99" spans="1:5" x14ac:dyDescent="0.2">
      <c r="A99" t="s">
        <v>41</v>
      </c>
      <c r="B99" t="s">
        <v>276</v>
      </c>
      <c r="C99">
        <v>1</v>
      </c>
      <c r="E99">
        <v>27</v>
      </c>
    </row>
    <row r="100" spans="1:5" x14ac:dyDescent="0.2">
      <c r="A100" t="s">
        <v>41</v>
      </c>
      <c r="B100" t="s">
        <v>276</v>
      </c>
      <c r="C100">
        <v>1.25</v>
      </c>
      <c r="E100">
        <v>30.91</v>
      </c>
    </row>
    <row r="101" spans="1:5" x14ac:dyDescent="0.2">
      <c r="A101" t="s">
        <v>41</v>
      </c>
      <c r="B101" t="s">
        <v>276</v>
      </c>
      <c r="C101">
        <v>5</v>
      </c>
      <c r="D101">
        <v>0.96913940088125194</v>
      </c>
    </row>
    <row r="102" spans="1:5" x14ac:dyDescent="0.2">
      <c r="A102" t="s">
        <v>41</v>
      </c>
      <c r="B102" t="s">
        <v>276</v>
      </c>
      <c r="C102">
        <v>10</v>
      </c>
      <c r="D102">
        <v>0.97699221166168904</v>
      </c>
    </row>
    <row r="103" spans="1:5" x14ac:dyDescent="0.2">
      <c r="A103" t="s">
        <v>41</v>
      </c>
      <c r="B103" t="s">
        <v>276</v>
      </c>
      <c r="C103">
        <v>15</v>
      </c>
      <c r="D103">
        <v>0.97822123922908799</v>
      </c>
    </row>
    <row r="104" spans="1:5" x14ac:dyDescent="0.2">
      <c r="A104" t="s">
        <v>41</v>
      </c>
      <c r="B104" t="s">
        <v>276</v>
      </c>
      <c r="C104">
        <v>20</v>
      </c>
      <c r="D104">
        <v>0.97717020741869098</v>
      </c>
    </row>
    <row r="105" spans="1:5" x14ac:dyDescent="0.2">
      <c r="A105" t="s">
        <v>41</v>
      </c>
      <c r="B105" t="s">
        <v>276</v>
      </c>
      <c r="C105">
        <v>25</v>
      </c>
      <c r="D105">
        <v>0.97306221293832595</v>
      </c>
    </row>
    <row r="106" spans="1:5" x14ac:dyDescent="0.2">
      <c r="A106" t="s">
        <v>42</v>
      </c>
      <c r="B106" t="s">
        <v>509</v>
      </c>
      <c r="C106">
        <v>0.25</v>
      </c>
      <c r="D106">
        <v>0.18533333333333299</v>
      </c>
      <c r="E106">
        <v>42.89</v>
      </c>
    </row>
    <row r="107" spans="1:5" x14ac:dyDescent="0.2">
      <c r="A107" t="s">
        <v>42</v>
      </c>
      <c r="B107" t="s">
        <v>509</v>
      </c>
      <c r="C107">
        <v>0.5</v>
      </c>
      <c r="D107">
        <v>0.33440514469453397</v>
      </c>
      <c r="E107">
        <v>47.89</v>
      </c>
    </row>
    <row r="108" spans="1:5" x14ac:dyDescent="0.2">
      <c r="A108" t="s">
        <v>42</v>
      </c>
      <c r="B108" t="s">
        <v>509</v>
      </c>
      <c r="C108">
        <v>0.75</v>
      </c>
      <c r="D108">
        <v>0.32472324723247198</v>
      </c>
      <c r="E108">
        <v>42.88</v>
      </c>
    </row>
    <row r="109" spans="1:5" x14ac:dyDescent="0.2">
      <c r="A109" t="s">
        <v>42</v>
      </c>
      <c r="B109" t="s">
        <v>509</v>
      </c>
      <c r="C109">
        <v>1</v>
      </c>
      <c r="D109">
        <v>0.34817813765182198</v>
      </c>
      <c r="E109">
        <v>49.53</v>
      </c>
    </row>
    <row r="110" spans="1:5" x14ac:dyDescent="0.2">
      <c r="A110" t="s">
        <v>42</v>
      </c>
      <c r="B110" t="s">
        <v>509</v>
      </c>
      <c r="C110">
        <v>1.25</v>
      </c>
      <c r="D110">
        <v>0.33620689655172398</v>
      </c>
      <c r="E110">
        <v>57.16</v>
      </c>
    </row>
    <row r="111" spans="1:5" x14ac:dyDescent="0.2">
      <c r="A111" t="s">
        <v>42</v>
      </c>
      <c r="B111" t="s">
        <v>265</v>
      </c>
      <c r="C111">
        <v>0.25</v>
      </c>
      <c r="D111">
        <v>0.180851063829787</v>
      </c>
      <c r="E111">
        <v>29.89</v>
      </c>
    </row>
    <row r="112" spans="1:5" x14ac:dyDescent="0.2">
      <c r="A112" t="s">
        <v>42</v>
      </c>
      <c r="B112" t="s">
        <v>265</v>
      </c>
      <c r="C112">
        <v>0.5</v>
      </c>
      <c r="D112">
        <v>0.32628398791540802</v>
      </c>
      <c r="E112">
        <v>34.020000000000003</v>
      </c>
    </row>
    <row r="113" spans="1:5" x14ac:dyDescent="0.2">
      <c r="A113" t="s">
        <v>42</v>
      </c>
      <c r="B113" t="s">
        <v>265</v>
      </c>
      <c r="C113">
        <v>0.75</v>
      </c>
      <c r="D113">
        <v>0.30718954248365998</v>
      </c>
      <c r="E113">
        <v>39.22</v>
      </c>
    </row>
    <row r="114" spans="1:5" x14ac:dyDescent="0.2">
      <c r="A114" t="s">
        <v>42</v>
      </c>
      <c r="B114" t="s">
        <v>265</v>
      </c>
      <c r="C114">
        <v>1</v>
      </c>
      <c r="D114">
        <v>0.31804281345565799</v>
      </c>
      <c r="E114">
        <v>44.91</v>
      </c>
    </row>
    <row r="115" spans="1:5" x14ac:dyDescent="0.2">
      <c r="A115" t="s">
        <v>42</v>
      </c>
      <c r="B115" t="s">
        <v>265</v>
      </c>
      <c r="C115">
        <v>1.25</v>
      </c>
      <c r="D115">
        <v>0.32317073170731703</v>
      </c>
      <c r="E115">
        <v>50.48</v>
      </c>
    </row>
    <row r="116" spans="1:5" x14ac:dyDescent="0.2">
      <c r="A116" t="s">
        <v>42</v>
      </c>
      <c r="B116" t="s">
        <v>254</v>
      </c>
      <c r="C116">
        <v>0.25</v>
      </c>
      <c r="D116">
        <v>0.21221864951768499</v>
      </c>
      <c r="E116">
        <v>28.48</v>
      </c>
    </row>
    <row r="117" spans="1:5" x14ac:dyDescent="0.2">
      <c r="A117" t="s">
        <v>42</v>
      </c>
      <c r="B117" t="s">
        <v>254</v>
      </c>
      <c r="C117">
        <v>0.5</v>
      </c>
      <c r="D117">
        <v>0.200278164116829</v>
      </c>
      <c r="E117">
        <v>36.590000000000003</v>
      </c>
    </row>
    <row r="118" spans="1:5" x14ac:dyDescent="0.2">
      <c r="A118" t="s">
        <v>42</v>
      </c>
      <c r="B118" t="s">
        <v>254</v>
      </c>
      <c r="C118">
        <v>0.75</v>
      </c>
      <c r="D118">
        <v>0.19879518072289201</v>
      </c>
      <c r="E118">
        <v>42.25</v>
      </c>
    </row>
    <row r="119" spans="1:5" x14ac:dyDescent="0.2">
      <c r="A119" t="s">
        <v>42</v>
      </c>
      <c r="B119" t="s">
        <v>254</v>
      </c>
      <c r="C119">
        <v>1</v>
      </c>
      <c r="D119">
        <v>0.185294117647059</v>
      </c>
      <c r="E119">
        <v>50.97</v>
      </c>
    </row>
    <row r="120" spans="1:5" x14ac:dyDescent="0.2">
      <c r="A120" t="s">
        <v>42</v>
      </c>
      <c r="B120" t="s">
        <v>254</v>
      </c>
      <c r="C120">
        <v>1.25</v>
      </c>
      <c r="D120">
        <v>0.20942408376963401</v>
      </c>
      <c r="E120">
        <v>62.65</v>
      </c>
    </row>
    <row r="121" spans="1:5" x14ac:dyDescent="0.2">
      <c r="A121" t="s">
        <v>42</v>
      </c>
      <c r="B121" t="s">
        <v>276</v>
      </c>
      <c r="C121">
        <v>0.25</v>
      </c>
      <c r="D121">
        <v>0.22544283413848601</v>
      </c>
      <c r="E121">
        <v>30.26</v>
      </c>
    </row>
    <row r="122" spans="1:5" x14ac:dyDescent="0.2">
      <c r="A122" t="s">
        <v>42</v>
      </c>
      <c r="B122" t="s">
        <v>276</v>
      </c>
      <c r="C122">
        <v>0.5</v>
      </c>
      <c r="D122">
        <v>0.19422572178477701</v>
      </c>
      <c r="E122">
        <v>37.15</v>
      </c>
    </row>
    <row r="123" spans="1:5" x14ac:dyDescent="0.2">
      <c r="A123" t="s">
        <v>42</v>
      </c>
      <c r="B123" t="s">
        <v>276</v>
      </c>
      <c r="C123">
        <v>0.75</v>
      </c>
      <c r="D123">
        <v>0.19008264462809901</v>
      </c>
      <c r="E123">
        <v>42.28</v>
      </c>
    </row>
    <row r="124" spans="1:5" x14ac:dyDescent="0.2">
      <c r="A124" t="s">
        <v>42</v>
      </c>
      <c r="B124" t="s">
        <v>276</v>
      </c>
      <c r="C124">
        <v>1</v>
      </c>
      <c r="D124">
        <v>0.18877551020408201</v>
      </c>
      <c r="E124">
        <v>50.86</v>
      </c>
    </row>
    <row r="125" spans="1:5" x14ac:dyDescent="0.2">
      <c r="A125" t="s">
        <v>42</v>
      </c>
      <c r="B125" t="s">
        <v>276</v>
      </c>
      <c r="C125">
        <v>1.25</v>
      </c>
      <c r="D125">
        <v>0.19749652294854</v>
      </c>
      <c r="E125">
        <v>62.06</v>
      </c>
    </row>
    <row r="126" spans="1:5" x14ac:dyDescent="0.2">
      <c r="A126" t="s">
        <v>39</v>
      </c>
      <c r="B126" t="s">
        <v>509</v>
      </c>
      <c r="C126">
        <v>5</v>
      </c>
      <c r="D126">
        <v>0.57142857142857195</v>
      </c>
      <c r="E126">
        <v>12.9</v>
      </c>
    </row>
    <row r="127" spans="1:5" x14ac:dyDescent="0.2">
      <c r="A127" t="s">
        <v>39</v>
      </c>
      <c r="B127" t="s">
        <v>509</v>
      </c>
      <c r="C127">
        <v>10</v>
      </c>
      <c r="D127">
        <v>0.63157894736842102</v>
      </c>
      <c r="E127">
        <v>12.54</v>
      </c>
    </row>
    <row r="128" spans="1:5" x14ac:dyDescent="0.2">
      <c r="A128" t="s">
        <v>39</v>
      </c>
      <c r="B128" t="s">
        <v>509</v>
      </c>
      <c r="C128">
        <v>15</v>
      </c>
      <c r="D128">
        <v>0.63157894736842102</v>
      </c>
      <c r="E128">
        <v>14.58</v>
      </c>
    </row>
    <row r="129" spans="1:5" x14ac:dyDescent="0.2">
      <c r="A129" t="s">
        <v>39</v>
      </c>
      <c r="B129" t="s">
        <v>509</v>
      </c>
      <c r="C129">
        <v>20</v>
      </c>
      <c r="D129">
        <v>0.63157894736842102</v>
      </c>
      <c r="E129">
        <v>16.79</v>
      </c>
    </row>
    <row r="130" spans="1:5" x14ac:dyDescent="0.2">
      <c r="A130" t="s">
        <v>39</v>
      </c>
      <c r="B130" t="s">
        <v>509</v>
      </c>
      <c r="C130">
        <v>25</v>
      </c>
      <c r="D130">
        <v>0.6</v>
      </c>
      <c r="E130">
        <v>17.12</v>
      </c>
    </row>
    <row r="131" spans="1:5" x14ac:dyDescent="0.2">
      <c r="A131" t="s">
        <v>39</v>
      </c>
      <c r="B131" t="s">
        <v>265</v>
      </c>
      <c r="C131">
        <v>5</v>
      </c>
      <c r="D131">
        <v>0</v>
      </c>
      <c r="E131">
        <v>11.01</v>
      </c>
    </row>
    <row r="132" spans="1:5" x14ac:dyDescent="0.2">
      <c r="A132" t="s">
        <v>39</v>
      </c>
      <c r="B132" t="s">
        <v>265</v>
      </c>
      <c r="C132">
        <v>10</v>
      </c>
      <c r="D132">
        <v>0</v>
      </c>
      <c r="E132">
        <v>12.63</v>
      </c>
    </row>
    <row r="133" spans="1:5" x14ac:dyDescent="0.2">
      <c r="A133" t="s">
        <v>39</v>
      </c>
      <c r="B133" t="s">
        <v>265</v>
      </c>
      <c r="C133">
        <v>15</v>
      </c>
      <c r="D133">
        <v>0</v>
      </c>
      <c r="E133">
        <v>13.95</v>
      </c>
    </row>
    <row r="134" spans="1:5" x14ac:dyDescent="0.2">
      <c r="A134" t="s">
        <v>39</v>
      </c>
      <c r="B134" t="s">
        <v>265</v>
      </c>
      <c r="C134">
        <v>20</v>
      </c>
      <c r="D134">
        <v>0</v>
      </c>
      <c r="E134">
        <v>16.36</v>
      </c>
    </row>
    <row r="135" spans="1:5" x14ac:dyDescent="0.2">
      <c r="A135" t="s">
        <v>39</v>
      </c>
      <c r="B135" t="s">
        <v>265</v>
      </c>
      <c r="C135">
        <v>25</v>
      </c>
      <c r="D135">
        <v>0</v>
      </c>
      <c r="E135">
        <v>16.28</v>
      </c>
    </row>
    <row r="136" spans="1:5" x14ac:dyDescent="0.2">
      <c r="A136" t="s">
        <v>39</v>
      </c>
      <c r="B136" t="s">
        <v>254</v>
      </c>
      <c r="C136">
        <v>5</v>
      </c>
      <c r="D136">
        <v>0</v>
      </c>
      <c r="E136">
        <v>11.16</v>
      </c>
    </row>
    <row r="137" spans="1:5" x14ac:dyDescent="0.2">
      <c r="A137" t="s">
        <v>39</v>
      </c>
      <c r="B137" t="s">
        <v>254</v>
      </c>
      <c r="C137">
        <v>10</v>
      </c>
      <c r="D137">
        <v>0</v>
      </c>
      <c r="E137">
        <v>11.14</v>
      </c>
    </row>
    <row r="138" spans="1:5" x14ac:dyDescent="0.2">
      <c r="A138" t="s">
        <v>39</v>
      </c>
      <c r="B138" t="s">
        <v>254</v>
      </c>
      <c r="C138">
        <v>15</v>
      </c>
      <c r="D138">
        <v>0</v>
      </c>
      <c r="E138">
        <v>13.27</v>
      </c>
    </row>
    <row r="139" spans="1:5" x14ac:dyDescent="0.2">
      <c r="A139" t="s">
        <v>39</v>
      </c>
      <c r="B139" t="s">
        <v>254</v>
      </c>
      <c r="C139">
        <v>20</v>
      </c>
      <c r="D139">
        <v>0.15384615384615399</v>
      </c>
      <c r="E139">
        <v>14.16</v>
      </c>
    </row>
    <row r="140" spans="1:5" x14ac:dyDescent="0.2">
      <c r="A140" t="s">
        <v>39</v>
      </c>
      <c r="B140" t="s">
        <v>254</v>
      </c>
      <c r="C140">
        <v>25</v>
      </c>
      <c r="D140">
        <v>0.14285714285714299</v>
      </c>
      <c r="E140">
        <v>17.45</v>
      </c>
    </row>
    <row r="141" spans="1:5" x14ac:dyDescent="0.2">
      <c r="A141" t="s">
        <v>39</v>
      </c>
      <c r="B141" t="s">
        <v>276</v>
      </c>
      <c r="C141">
        <v>5</v>
      </c>
      <c r="D141">
        <v>0</v>
      </c>
      <c r="E141">
        <v>11.25</v>
      </c>
    </row>
    <row r="142" spans="1:5" x14ac:dyDescent="0.2">
      <c r="A142" t="s">
        <v>39</v>
      </c>
      <c r="B142" t="s">
        <v>276</v>
      </c>
      <c r="C142">
        <v>10</v>
      </c>
      <c r="D142">
        <v>0</v>
      </c>
      <c r="E142">
        <v>10.97</v>
      </c>
    </row>
    <row r="143" spans="1:5" x14ac:dyDescent="0.2">
      <c r="A143" t="s">
        <v>39</v>
      </c>
      <c r="B143" t="s">
        <v>276</v>
      </c>
      <c r="C143">
        <v>15</v>
      </c>
      <c r="D143">
        <v>0</v>
      </c>
      <c r="E143">
        <v>13.49</v>
      </c>
    </row>
    <row r="144" spans="1:5" x14ac:dyDescent="0.2">
      <c r="A144" t="s">
        <v>39</v>
      </c>
      <c r="B144" t="s">
        <v>276</v>
      </c>
      <c r="C144">
        <v>20</v>
      </c>
      <c r="D144">
        <v>0</v>
      </c>
      <c r="E144">
        <v>14.28</v>
      </c>
    </row>
    <row r="145" spans="1:5" x14ac:dyDescent="0.2">
      <c r="A145" t="s">
        <v>39</v>
      </c>
      <c r="B145" t="s">
        <v>276</v>
      </c>
      <c r="C145">
        <v>25</v>
      </c>
      <c r="D145">
        <v>0</v>
      </c>
      <c r="E145">
        <v>16.89</v>
      </c>
    </row>
    <row r="146" spans="1:5" x14ac:dyDescent="0.2">
      <c r="A146" t="s">
        <v>36</v>
      </c>
      <c r="B146" t="s">
        <v>509</v>
      </c>
      <c r="C146">
        <v>0.25</v>
      </c>
      <c r="D146">
        <v>0.61764705882352899</v>
      </c>
      <c r="E146">
        <v>2.4500000000000002</v>
      </c>
    </row>
    <row r="147" spans="1:5" x14ac:dyDescent="0.2">
      <c r="A147" t="s">
        <v>36</v>
      </c>
      <c r="B147" t="s">
        <v>509</v>
      </c>
      <c r="C147">
        <v>0.5</v>
      </c>
      <c r="D147">
        <v>0.761290322580645</v>
      </c>
      <c r="E147">
        <v>2.44</v>
      </c>
    </row>
    <row r="148" spans="1:5" x14ac:dyDescent="0.2">
      <c r="A148" t="s">
        <v>36</v>
      </c>
      <c r="B148" t="s">
        <v>509</v>
      </c>
      <c r="C148">
        <v>0.75</v>
      </c>
      <c r="D148">
        <v>0.83636363636363598</v>
      </c>
      <c r="E148">
        <v>2.3199999999999998</v>
      </c>
    </row>
    <row r="149" spans="1:5" x14ac:dyDescent="0.2">
      <c r="A149" t="s">
        <v>36</v>
      </c>
      <c r="B149" t="s">
        <v>509</v>
      </c>
      <c r="C149">
        <v>1</v>
      </c>
      <c r="D149">
        <v>0.85029940119760505</v>
      </c>
      <c r="E149">
        <v>2.3199999999999998</v>
      </c>
    </row>
    <row r="150" spans="1:5" x14ac:dyDescent="0.2">
      <c r="A150" t="s">
        <v>36</v>
      </c>
      <c r="B150" t="s">
        <v>509</v>
      </c>
      <c r="C150">
        <v>1.25</v>
      </c>
      <c r="D150">
        <v>0.870588235294118</v>
      </c>
      <c r="E150">
        <v>3.28</v>
      </c>
    </row>
    <row r="151" spans="1:5" x14ac:dyDescent="0.2">
      <c r="A151" t="s">
        <v>36</v>
      </c>
      <c r="B151" t="s">
        <v>265</v>
      </c>
      <c r="C151">
        <v>0.25</v>
      </c>
      <c r="D151">
        <v>0</v>
      </c>
      <c r="E151">
        <v>1.1000000000000001</v>
      </c>
    </row>
    <row r="152" spans="1:5" x14ac:dyDescent="0.2">
      <c r="A152" t="s">
        <v>36</v>
      </c>
      <c r="B152" t="s">
        <v>265</v>
      </c>
      <c r="C152">
        <v>0.5</v>
      </c>
      <c r="D152">
        <v>0</v>
      </c>
      <c r="E152">
        <v>1.39</v>
      </c>
    </row>
    <row r="153" spans="1:5" x14ac:dyDescent="0.2">
      <c r="A153" t="s">
        <v>36</v>
      </c>
      <c r="B153" t="s">
        <v>265</v>
      </c>
      <c r="C153">
        <v>0.75</v>
      </c>
      <c r="D153">
        <v>0</v>
      </c>
      <c r="E153">
        <v>1.62</v>
      </c>
    </row>
    <row r="154" spans="1:5" x14ac:dyDescent="0.2">
      <c r="A154" t="s">
        <v>36</v>
      </c>
      <c r="B154" t="s">
        <v>265</v>
      </c>
      <c r="C154">
        <v>1</v>
      </c>
      <c r="D154">
        <v>0</v>
      </c>
      <c r="E154">
        <v>1.68</v>
      </c>
    </row>
    <row r="155" spans="1:5" x14ac:dyDescent="0.2">
      <c r="A155" t="s">
        <v>36</v>
      </c>
      <c r="B155" t="s">
        <v>265</v>
      </c>
      <c r="C155">
        <v>1.25</v>
      </c>
      <c r="D155">
        <v>0</v>
      </c>
      <c r="E155">
        <v>2.85</v>
      </c>
    </row>
    <row r="156" spans="1:5" x14ac:dyDescent="0.2">
      <c r="A156" t="s">
        <v>36</v>
      </c>
      <c r="B156" t="s">
        <v>254</v>
      </c>
      <c r="C156">
        <v>0.25</v>
      </c>
      <c r="D156">
        <v>2.1276595744680899E-2</v>
      </c>
      <c r="E156">
        <v>1.2</v>
      </c>
    </row>
    <row r="157" spans="1:5" x14ac:dyDescent="0.2">
      <c r="A157" t="s">
        <v>36</v>
      </c>
      <c r="B157" t="s">
        <v>254</v>
      </c>
      <c r="C157">
        <v>0.5</v>
      </c>
      <c r="D157">
        <v>0.17647058823529399</v>
      </c>
      <c r="E157">
        <v>1.85</v>
      </c>
    </row>
    <row r="158" spans="1:5" x14ac:dyDescent="0.2">
      <c r="A158" t="s">
        <v>36</v>
      </c>
      <c r="B158" t="s">
        <v>254</v>
      </c>
      <c r="C158">
        <v>0.75</v>
      </c>
      <c r="D158">
        <v>0.19417475728155301</v>
      </c>
      <c r="E158">
        <v>2.97</v>
      </c>
    </row>
    <row r="159" spans="1:5" x14ac:dyDescent="0.2">
      <c r="A159" t="s">
        <v>36</v>
      </c>
      <c r="B159" t="s">
        <v>254</v>
      </c>
      <c r="C159">
        <v>1</v>
      </c>
      <c r="D159">
        <v>0.27777777777777801</v>
      </c>
      <c r="E159">
        <v>4.4000000000000004</v>
      </c>
    </row>
    <row r="160" spans="1:5" x14ac:dyDescent="0.2">
      <c r="A160" t="s">
        <v>36</v>
      </c>
      <c r="B160" t="s">
        <v>254</v>
      </c>
      <c r="C160">
        <v>1.25</v>
      </c>
      <c r="D160">
        <v>0.33628318584070799</v>
      </c>
      <c r="E160">
        <v>4.18</v>
      </c>
    </row>
    <row r="161" spans="1:5" x14ac:dyDescent="0.2">
      <c r="A161" t="s">
        <v>36</v>
      </c>
      <c r="B161" t="s">
        <v>276</v>
      </c>
      <c r="C161">
        <v>0.25</v>
      </c>
      <c r="D161">
        <v>0</v>
      </c>
      <c r="E161">
        <v>0.62</v>
      </c>
    </row>
    <row r="162" spans="1:5" x14ac:dyDescent="0.2">
      <c r="A162" t="s">
        <v>36</v>
      </c>
      <c r="B162" t="s">
        <v>276</v>
      </c>
      <c r="C162">
        <v>0.5</v>
      </c>
      <c r="D162">
        <v>0</v>
      </c>
      <c r="E162">
        <v>0.86</v>
      </c>
    </row>
    <row r="163" spans="1:5" x14ac:dyDescent="0.2">
      <c r="A163" t="s">
        <v>36</v>
      </c>
      <c r="B163" t="s">
        <v>276</v>
      </c>
      <c r="C163">
        <v>0.75</v>
      </c>
      <c r="D163">
        <v>0</v>
      </c>
      <c r="E163">
        <v>2.38</v>
      </c>
    </row>
    <row r="164" spans="1:5" x14ac:dyDescent="0.2">
      <c r="A164" t="s">
        <v>36</v>
      </c>
      <c r="B164" t="s">
        <v>276</v>
      </c>
      <c r="C164">
        <v>1</v>
      </c>
      <c r="D164">
        <v>0</v>
      </c>
      <c r="E164">
        <v>3.04</v>
      </c>
    </row>
    <row r="165" spans="1:5" x14ac:dyDescent="0.2">
      <c r="A165" t="s">
        <v>36</v>
      </c>
      <c r="B165" t="s">
        <v>276</v>
      </c>
      <c r="C165">
        <v>1.25</v>
      </c>
      <c r="D165">
        <v>0</v>
      </c>
      <c r="E165">
        <v>3.42</v>
      </c>
    </row>
    <row r="166" spans="1:5" x14ac:dyDescent="0.2">
      <c r="A166" t="s">
        <v>37</v>
      </c>
      <c r="B166" t="s">
        <v>509</v>
      </c>
      <c r="C166">
        <v>0.25</v>
      </c>
      <c r="D166">
        <v>0.6</v>
      </c>
      <c r="E166">
        <v>31.08</v>
      </c>
    </row>
    <row r="167" spans="1:5" x14ac:dyDescent="0.2">
      <c r="A167" t="s">
        <v>37</v>
      </c>
      <c r="B167" t="s">
        <v>509</v>
      </c>
      <c r="C167">
        <v>0.5</v>
      </c>
      <c r="D167">
        <v>0.6</v>
      </c>
      <c r="E167">
        <v>35.89</v>
      </c>
    </row>
    <row r="168" spans="1:5" x14ac:dyDescent="0.2">
      <c r="A168" t="s">
        <v>37</v>
      </c>
      <c r="B168" t="s">
        <v>509</v>
      </c>
      <c r="C168">
        <v>0.75</v>
      </c>
      <c r="D168">
        <v>0.6</v>
      </c>
      <c r="E168">
        <v>39.28</v>
      </c>
    </row>
    <row r="169" spans="1:5" x14ac:dyDescent="0.2">
      <c r="A169" t="s">
        <v>37</v>
      </c>
      <c r="B169" t="s">
        <v>509</v>
      </c>
      <c r="C169">
        <v>1</v>
      </c>
      <c r="D169">
        <v>0.6</v>
      </c>
      <c r="E169">
        <v>44.24</v>
      </c>
    </row>
    <row r="170" spans="1:5" x14ac:dyDescent="0.2">
      <c r="A170" t="s">
        <v>37</v>
      </c>
      <c r="B170" t="s">
        <v>509</v>
      </c>
      <c r="C170">
        <v>1.25</v>
      </c>
      <c r="D170">
        <v>0.6</v>
      </c>
      <c r="E170">
        <v>47.75</v>
      </c>
    </row>
    <row r="171" spans="1:5" x14ac:dyDescent="0.2">
      <c r="A171" t="s">
        <v>37</v>
      </c>
      <c r="B171" t="s">
        <v>265</v>
      </c>
      <c r="C171">
        <v>0.25</v>
      </c>
      <c r="D171">
        <v>0</v>
      </c>
      <c r="E171">
        <v>20.3</v>
      </c>
    </row>
    <row r="172" spans="1:5" x14ac:dyDescent="0.2">
      <c r="A172" t="s">
        <v>37</v>
      </c>
      <c r="B172" t="s">
        <v>265</v>
      </c>
      <c r="C172">
        <v>0.5</v>
      </c>
      <c r="D172">
        <v>0</v>
      </c>
      <c r="E172">
        <v>25.58</v>
      </c>
    </row>
    <row r="173" spans="1:5" x14ac:dyDescent="0.2">
      <c r="A173" t="s">
        <v>37</v>
      </c>
      <c r="B173" t="s">
        <v>265</v>
      </c>
      <c r="C173">
        <v>0.75</v>
      </c>
      <c r="D173">
        <v>0</v>
      </c>
      <c r="E173">
        <v>32.72</v>
      </c>
    </row>
    <row r="174" spans="1:5" x14ac:dyDescent="0.2">
      <c r="A174" t="s">
        <v>37</v>
      </c>
      <c r="B174" t="s">
        <v>265</v>
      </c>
      <c r="C174">
        <v>1</v>
      </c>
      <c r="D174">
        <v>0</v>
      </c>
      <c r="E174">
        <v>36.65</v>
      </c>
    </row>
    <row r="175" spans="1:5" x14ac:dyDescent="0.2">
      <c r="A175" t="s">
        <v>37</v>
      </c>
      <c r="B175" t="s">
        <v>265</v>
      </c>
      <c r="C175">
        <v>1.25</v>
      </c>
      <c r="D175">
        <v>0</v>
      </c>
      <c r="E175">
        <v>42.76</v>
      </c>
    </row>
    <row r="176" spans="1:5" x14ac:dyDescent="0.2">
      <c r="A176" t="s">
        <v>37</v>
      </c>
      <c r="B176" t="s">
        <v>254</v>
      </c>
      <c r="C176">
        <v>0.25</v>
      </c>
      <c r="D176">
        <v>0</v>
      </c>
      <c r="E176">
        <v>21.63</v>
      </c>
    </row>
    <row r="177" spans="1:5" x14ac:dyDescent="0.2">
      <c r="A177" t="s">
        <v>37</v>
      </c>
      <c r="B177" t="s">
        <v>254</v>
      </c>
      <c r="C177">
        <v>0.5</v>
      </c>
      <c r="D177">
        <v>0.33333333333333298</v>
      </c>
      <c r="E177">
        <v>33.979999999999997</v>
      </c>
    </row>
    <row r="178" spans="1:5" x14ac:dyDescent="0.2">
      <c r="A178" t="s">
        <v>37</v>
      </c>
      <c r="B178" t="s">
        <v>254</v>
      </c>
      <c r="C178">
        <v>0.75</v>
      </c>
      <c r="D178">
        <v>0.33333333333333298</v>
      </c>
      <c r="E178">
        <v>40.71</v>
      </c>
    </row>
    <row r="179" spans="1:5" x14ac:dyDescent="0.2">
      <c r="A179" t="s">
        <v>37</v>
      </c>
      <c r="B179" t="s">
        <v>254</v>
      </c>
      <c r="C179">
        <v>1</v>
      </c>
      <c r="D179">
        <v>0.4</v>
      </c>
      <c r="E179">
        <v>55.82</v>
      </c>
    </row>
    <row r="180" spans="1:5" x14ac:dyDescent="0.2">
      <c r="A180" t="s">
        <v>37</v>
      </c>
      <c r="B180" t="s">
        <v>254</v>
      </c>
      <c r="C180">
        <v>1.25</v>
      </c>
      <c r="D180">
        <v>0.4</v>
      </c>
      <c r="E180">
        <v>69.27</v>
      </c>
    </row>
    <row r="181" spans="1:5" x14ac:dyDescent="0.2">
      <c r="A181" t="s">
        <v>37</v>
      </c>
      <c r="B181" t="s">
        <v>276</v>
      </c>
      <c r="C181">
        <v>0.25</v>
      </c>
      <c r="D181">
        <v>0</v>
      </c>
      <c r="E181">
        <v>20.18</v>
      </c>
    </row>
    <row r="182" spans="1:5" x14ac:dyDescent="0.2">
      <c r="A182" t="s">
        <v>37</v>
      </c>
      <c r="B182" t="s">
        <v>276</v>
      </c>
      <c r="C182">
        <v>0.5</v>
      </c>
      <c r="D182">
        <v>0</v>
      </c>
      <c r="E182">
        <v>33.43</v>
      </c>
    </row>
    <row r="183" spans="1:5" x14ac:dyDescent="0.2">
      <c r="A183" t="s">
        <v>37</v>
      </c>
      <c r="B183" t="s">
        <v>276</v>
      </c>
      <c r="C183">
        <v>0.75</v>
      </c>
      <c r="D183">
        <v>0</v>
      </c>
      <c r="E183">
        <v>42.2</v>
      </c>
    </row>
    <row r="184" spans="1:5" x14ac:dyDescent="0.2">
      <c r="A184" t="s">
        <v>37</v>
      </c>
      <c r="B184" t="s">
        <v>276</v>
      </c>
      <c r="C184">
        <v>1</v>
      </c>
      <c r="D184">
        <v>0</v>
      </c>
      <c r="E184">
        <v>54.86</v>
      </c>
    </row>
    <row r="185" spans="1:5" x14ac:dyDescent="0.2">
      <c r="A185" t="s">
        <v>37</v>
      </c>
      <c r="B185" t="s">
        <v>276</v>
      </c>
      <c r="C185">
        <v>1.25</v>
      </c>
      <c r="D185">
        <v>0</v>
      </c>
      <c r="E185">
        <v>68.06</v>
      </c>
    </row>
    <row r="186" spans="1:5" x14ac:dyDescent="0.2">
      <c r="A186" t="s">
        <v>38</v>
      </c>
      <c r="B186" t="s">
        <v>509</v>
      </c>
      <c r="C186">
        <v>0.25</v>
      </c>
      <c r="D186">
        <v>0.14285714285714299</v>
      </c>
      <c r="E186">
        <v>2.9</v>
      </c>
    </row>
    <row r="187" spans="1:5" x14ac:dyDescent="0.2">
      <c r="A187" t="s">
        <v>38</v>
      </c>
      <c r="B187" t="s">
        <v>509</v>
      </c>
      <c r="C187">
        <v>0.5</v>
      </c>
      <c r="D187">
        <v>0.22641509433962301</v>
      </c>
      <c r="E187">
        <v>2.92</v>
      </c>
    </row>
    <row r="188" spans="1:5" x14ac:dyDescent="0.2">
      <c r="A188" t="s">
        <v>38</v>
      </c>
      <c r="B188" t="s">
        <v>509</v>
      </c>
      <c r="C188">
        <v>0.75</v>
      </c>
      <c r="D188">
        <v>0.23285714285714301</v>
      </c>
      <c r="E188">
        <v>3.13</v>
      </c>
    </row>
    <row r="189" spans="1:5" x14ac:dyDescent="0.2">
      <c r="A189" t="s">
        <v>38</v>
      </c>
      <c r="B189" t="s">
        <v>509</v>
      </c>
      <c r="C189">
        <v>1</v>
      </c>
      <c r="D189">
        <v>0.34285714285714303</v>
      </c>
      <c r="E189">
        <v>3.88</v>
      </c>
    </row>
    <row r="190" spans="1:5" x14ac:dyDescent="0.2">
      <c r="A190" t="s">
        <v>38</v>
      </c>
      <c r="B190" t="s">
        <v>509</v>
      </c>
      <c r="C190">
        <v>1.25</v>
      </c>
      <c r="D190">
        <v>0.41025641025641002</v>
      </c>
      <c r="E190">
        <v>5.19</v>
      </c>
    </row>
    <row r="191" spans="1:5" x14ac:dyDescent="0.2">
      <c r="A191" t="s">
        <v>38</v>
      </c>
      <c r="B191" t="s">
        <v>265</v>
      </c>
      <c r="C191">
        <v>0.25</v>
      </c>
      <c r="D191">
        <v>0</v>
      </c>
      <c r="E191">
        <v>2.4700000000000002</v>
      </c>
    </row>
    <row r="192" spans="1:5" x14ac:dyDescent="0.2">
      <c r="A192" t="s">
        <v>38</v>
      </c>
      <c r="B192" t="s">
        <v>265</v>
      </c>
      <c r="C192">
        <v>0.5</v>
      </c>
      <c r="D192">
        <v>0</v>
      </c>
      <c r="E192">
        <v>2.84</v>
      </c>
    </row>
    <row r="193" spans="1:5" x14ac:dyDescent="0.2">
      <c r="A193" t="s">
        <v>38</v>
      </c>
      <c r="B193" t="s">
        <v>265</v>
      </c>
      <c r="C193">
        <v>0.75</v>
      </c>
      <c r="D193">
        <v>0</v>
      </c>
      <c r="E193">
        <v>3.02</v>
      </c>
    </row>
    <row r="194" spans="1:5" x14ac:dyDescent="0.2">
      <c r="A194" t="s">
        <v>38</v>
      </c>
      <c r="B194" t="s">
        <v>265</v>
      </c>
      <c r="C194">
        <v>1</v>
      </c>
      <c r="D194">
        <v>0</v>
      </c>
      <c r="E194">
        <v>4.5</v>
      </c>
    </row>
    <row r="195" spans="1:5" x14ac:dyDescent="0.2">
      <c r="A195" t="s">
        <v>38</v>
      </c>
      <c r="B195" t="s">
        <v>265</v>
      </c>
      <c r="C195">
        <v>1.25</v>
      </c>
      <c r="D195">
        <v>0</v>
      </c>
      <c r="E195">
        <v>4</v>
      </c>
    </row>
    <row r="196" spans="1:5" x14ac:dyDescent="0.2">
      <c r="A196" t="s">
        <v>38</v>
      </c>
      <c r="B196" t="s">
        <v>254</v>
      </c>
      <c r="C196">
        <v>0.25</v>
      </c>
      <c r="D196">
        <v>0</v>
      </c>
      <c r="E196">
        <v>6.34</v>
      </c>
    </row>
    <row r="197" spans="1:5" x14ac:dyDescent="0.2">
      <c r="A197" t="s">
        <v>38</v>
      </c>
      <c r="B197" t="s">
        <v>254</v>
      </c>
      <c r="C197">
        <v>0.5</v>
      </c>
      <c r="D197">
        <v>0</v>
      </c>
      <c r="E197">
        <v>9.66</v>
      </c>
    </row>
    <row r="198" spans="1:5" x14ac:dyDescent="0.2">
      <c r="A198" t="s">
        <v>38</v>
      </c>
      <c r="B198" t="s">
        <v>254</v>
      </c>
      <c r="C198">
        <v>0.75</v>
      </c>
      <c r="D198">
        <v>0.11764705882352899</v>
      </c>
      <c r="E198">
        <v>12.2</v>
      </c>
    </row>
    <row r="199" spans="1:5" x14ac:dyDescent="0.2">
      <c r="A199" t="s">
        <v>38</v>
      </c>
      <c r="B199" t="s">
        <v>254</v>
      </c>
      <c r="C199">
        <v>1</v>
      </c>
      <c r="D199">
        <v>0.18181818181818199</v>
      </c>
      <c r="E199">
        <v>16.739999999999998</v>
      </c>
    </row>
    <row r="200" spans="1:5" x14ac:dyDescent="0.2">
      <c r="A200" t="s">
        <v>38</v>
      </c>
      <c r="B200" t="s">
        <v>254</v>
      </c>
      <c r="C200">
        <v>1.25</v>
      </c>
      <c r="D200">
        <v>0.21052631578947401</v>
      </c>
      <c r="E200">
        <v>16.5</v>
      </c>
    </row>
    <row r="201" spans="1:5" x14ac:dyDescent="0.2">
      <c r="A201" t="s">
        <v>38</v>
      </c>
      <c r="B201" t="s">
        <v>276</v>
      </c>
      <c r="C201">
        <v>0.25</v>
      </c>
      <c r="D201">
        <v>0</v>
      </c>
      <c r="E201">
        <v>2.39</v>
      </c>
    </row>
    <row r="202" spans="1:5" x14ac:dyDescent="0.2">
      <c r="A202" t="s">
        <v>38</v>
      </c>
      <c r="B202" t="s">
        <v>276</v>
      </c>
      <c r="C202">
        <v>0.5</v>
      </c>
      <c r="D202">
        <v>0</v>
      </c>
      <c r="E202">
        <v>2.74</v>
      </c>
    </row>
    <row r="203" spans="1:5" x14ac:dyDescent="0.2">
      <c r="A203" t="s">
        <v>38</v>
      </c>
      <c r="B203" t="s">
        <v>276</v>
      </c>
      <c r="C203">
        <v>0.75</v>
      </c>
      <c r="D203">
        <v>0</v>
      </c>
      <c r="E203">
        <v>2.5299999999999998</v>
      </c>
    </row>
    <row r="204" spans="1:5" x14ac:dyDescent="0.2">
      <c r="A204" t="s">
        <v>38</v>
      </c>
      <c r="B204" t="s">
        <v>276</v>
      </c>
      <c r="C204">
        <v>1</v>
      </c>
      <c r="D204">
        <v>0</v>
      </c>
      <c r="E204">
        <v>3.67</v>
      </c>
    </row>
    <row r="205" spans="1:5" x14ac:dyDescent="0.2">
      <c r="A205" t="s">
        <v>38</v>
      </c>
      <c r="B205" t="s">
        <v>276</v>
      </c>
      <c r="C205">
        <v>1.25</v>
      </c>
      <c r="D205">
        <v>0</v>
      </c>
      <c r="E205">
        <v>4.12</v>
      </c>
    </row>
    <row r="206" spans="1:5" x14ac:dyDescent="0.2">
      <c r="A206" t="s">
        <v>45</v>
      </c>
      <c r="B206" t="s">
        <v>509</v>
      </c>
      <c r="C206">
        <v>5</v>
      </c>
      <c r="D206">
        <v>0</v>
      </c>
      <c r="E206">
        <v>0.47</v>
      </c>
    </row>
    <row r="207" spans="1:5" x14ac:dyDescent="0.2">
      <c r="A207" t="s">
        <v>45</v>
      </c>
      <c r="B207" t="s">
        <v>509</v>
      </c>
      <c r="C207">
        <v>10</v>
      </c>
      <c r="D207">
        <v>0.66666666666666696</v>
      </c>
      <c r="E207">
        <v>0.37</v>
      </c>
    </row>
    <row r="208" spans="1:5" x14ac:dyDescent="0.2">
      <c r="A208" t="s">
        <v>45</v>
      </c>
      <c r="B208" t="s">
        <v>509</v>
      </c>
      <c r="C208">
        <v>15</v>
      </c>
      <c r="D208">
        <v>0.66666666666666696</v>
      </c>
      <c r="E208">
        <v>0.42</v>
      </c>
    </row>
    <row r="209" spans="1:5" x14ac:dyDescent="0.2">
      <c r="A209" t="s">
        <v>45</v>
      </c>
      <c r="B209" t="s">
        <v>509</v>
      </c>
      <c r="C209">
        <v>20</v>
      </c>
      <c r="D209">
        <v>1</v>
      </c>
      <c r="E209">
        <v>0.47</v>
      </c>
    </row>
    <row r="210" spans="1:5" x14ac:dyDescent="0.2">
      <c r="A210" t="s">
        <v>45</v>
      </c>
      <c r="B210" t="s">
        <v>509</v>
      </c>
      <c r="C210">
        <v>25</v>
      </c>
      <c r="D210">
        <v>1</v>
      </c>
      <c r="E210">
        <v>0.55000000000000004</v>
      </c>
    </row>
    <row r="211" spans="1:5" x14ac:dyDescent="0.2">
      <c r="A211" t="s">
        <v>45</v>
      </c>
      <c r="B211" t="s">
        <v>265</v>
      </c>
      <c r="C211">
        <v>5</v>
      </c>
      <c r="D211">
        <v>0</v>
      </c>
      <c r="E211">
        <v>0.25</v>
      </c>
    </row>
    <row r="212" spans="1:5" x14ac:dyDescent="0.2">
      <c r="A212" t="s">
        <v>45</v>
      </c>
      <c r="B212" t="s">
        <v>265</v>
      </c>
      <c r="C212">
        <v>10</v>
      </c>
      <c r="D212">
        <v>0.14285714285714299</v>
      </c>
      <c r="E212">
        <v>0.34</v>
      </c>
    </row>
    <row r="213" spans="1:5" x14ac:dyDescent="0.2">
      <c r="A213" t="s">
        <v>45</v>
      </c>
      <c r="B213" t="s">
        <v>265</v>
      </c>
      <c r="C213">
        <v>15</v>
      </c>
      <c r="D213">
        <v>0.18181818181818199</v>
      </c>
      <c r="E213">
        <v>0.42</v>
      </c>
    </row>
    <row r="214" spans="1:5" x14ac:dyDescent="0.2">
      <c r="A214" t="s">
        <v>45</v>
      </c>
      <c r="B214" t="s">
        <v>265</v>
      </c>
      <c r="C214">
        <v>20</v>
      </c>
      <c r="D214">
        <v>0.19047619047619099</v>
      </c>
      <c r="E214">
        <v>0.49</v>
      </c>
    </row>
    <row r="215" spans="1:5" x14ac:dyDescent="0.2">
      <c r="A215" t="s">
        <v>45</v>
      </c>
      <c r="B215" t="s">
        <v>265</v>
      </c>
      <c r="C215">
        <v>25</v>
      </c>
      <c r="D215">
        <v>0.18181818181818199</v>
      </c>
      <c r="E215">
        <v>0.54</v>
      </c>
    </row>
    <row r="216" spans="1:5" x14ac:dyDescent="0.2">
      <c r="A216" t="s">
        <v>45</v>
      </c>
      <c r="B216" t="s">
        <v>254</v>
      </c>
      <c r="C216">
        <v>5</v>
      </c>
      <c r="D216">
        <v>0</v>
      </c>
      <c r="E216">
        <v>0.2</v>
      </c>
    </row>
    <row r="217" spans="1:5" x14ac:dyDescent="0.2">
      <c r="A217" t="s">
        <v>45</v>
      </c>
      <c r="B217" t="s">
        <v>254</v>
      </c>
      <c r="C217">
        <v>10</v>
      </c>
      <c r="D217">
        <v>0</v>
      </c>
      <c r="E217">
        <v>0.23</v>
      </c>
    </row>
    <row r="218" spans="1:5" x14ac:dyDescent="0.2">
      <c r="A218" t="s">
        <v>45</v>
      </c>
      <c r="B218" t="s">
        <v>254</v>
      </c>
      <c r="C218">
        <v>15</v>
      </c>
      <c r="D218">
        <v>0</v>
      </c>
      <c r="E218">
        <v>0.22</v>
      </c>
    </row>
    <row r="219" spans="1:5" x14ac:dyDescent="0.2">
      <c r="A219" t="s">
        <v>45</v>
      </c>
      <c r="B219" t="s">
        <v>254</v>
      </c>
      <c r="C219">
        <v>20</v>
      </c>
      <c r="D219">
        <v>0.5</v>
      </c>
      <c r="E219">
        <v>0.25</v>
      </c>
    </row>
    <row r="220" spans="1:5" x14ac:dyDescent="0.2">
      <c r="A220" t="s">
        <v>45</v>
      </c>
      <c r="B220" t="s">
        <v>254</v>
      </c>
      <c r="C220">
        <v>25</v>
      </c>
      <c r="D220">
        <v>0.66666700000000001</v>
      </c>
      <c r="E220">
        <v>0.26</v>
      </c>
    </row>
    <row r="221" spans="1:5" x14ac:dyDescent="0.2">
      <c r="A221" t="s">
        <v>45</v>
      </c>
      <c r="B221" t="s">
        <v>276</v>
      </c>
      <c r="C221">
        <v>5</v>
      </c>
      <c r="D221">
        <v>0</v>
      </c>
      <c r="E221">
        <v>0.25</v>
      </c>
    </row>
    <row r="222" spans="1:5" x14ac:dyDescent="0.2">
      <c r="A222" t="s">
        <v>45</v>
      </c>
      <c r="B222" t="s">
        <v>276</v>
      </c>
      <c r="C222">
        <v>10</v>
      </c>
      <c r="D222">
        <v>0</v>
      </c>
      <c r="E222">
        <v>0.21</v>
      </c>
    </row>
    <row r="223" spans="1:5" x14ac:dyDescent="0.2">
      <c r="A223" t="s">
        <v>45</v>
      </c>
      <c r="B223" t="s">
        <v>276</v>
      </c>
      <c r="C223">
        <v>15</v>
      </c>
      <c r="D223">
        <v>0</v>
      </c>
      <c r="E223">
        <v>0.21</v>
      </c>
    </row>
    <row r="224" spans="1:5" x14ac:dyDescent="0.2">
      <c r="A224" t="s">
        <v>45</v>
      </c>
      <c r="B224" t="s">
        <v>276</v>
      </c>
      <c r="C224">
        <v>20</v>
      </c>
      <c r="D224">
        <v>0.11111111111111099</v>
      </c>
      <c r="E224">
        <v>0.22</v>
      </c>
    </row>
    <row r="225" spans="1:5" x14ac:dyDescent="0.2">
      <c r="A225" t="s">
        <v>45</v>
      </c>
      <c r="B225" t="s">
        <v>276</v>
      </c>
      <c r="C225">
        <v>25</v>
      </c>
      <c r="D225">
        <v>7.1428571428571397E-2</v>
      </c>
      <c r="E225">
        <v>0.24</v>
      </c>
    </row>
    <row r="226" spans="1:5" x14ac:dyDescent="0.2">
      <c r="A226" t="s">
        <v>46</v>
      </c>
      <c r="B226" t="s">
        <v>509</v>
      </c>
      <c r="C226">
        <v>5</v>
      </c>
      <c r="D226">
        <v>0</v>
      </c>
      <c r="E226">
        <v>0.92</v>
      </c>
    </row>
    <row r="227" spans="1:5" x14ac:dyDescent="0.2">
      <c r="A227" t="s">
        <v>46</v>
      </c>
      <c r="B227" t="s">
        <v>509</v>
      </c>
      <c r="C227">
        <v>10</v>
      </c>
      <c r="D227">
        <v>0.7</v>
      </c>
      <c r="E227">
        <v>0.98</v>
      </c>
    </row>
    <row r="228" spans="1:5" x14ac:dyDescent="0.2">
      <c r="A228" t="s">
        <v>46</v>
      </c>
      <c r="B228" t="s">
        <v>509</v>
      </c>
      <c r="C228">
        <v>15</v>
      </c>
      <c r="D228">
        <v>0.7</v>
      </c>
      <c r="E228">
        <v>0.92</v>
      </c>
    </row>
    <row r="229" spans="1:5" x14ac:dyDescent="0.2">
      <c r="A229" t="s">
        <v>46</v>
      </c>
      <c r="B229" t="s">
        <v>509</v>
      </c>
      <c r="C229">
        <v>20</v>
      </c>
      <c r="D229">
        <v>0.82369999999999999</v>
      </c>
      <c r="E229">
        <v>1.1399999999999999</v>
      </c>
    </row>
    <row r="230" spans="1:5" x14ac:dyDescent="0.2">
      <c r="A230" t="s">
        <v>46</v>
      </c>
      <c r="B230" t="s">
        <v>509</v>
      </c>
      <c r="C230">
        <v>25</v>
      </c>
      <c r="D230">
        <v>0.82369999999999999</v>
      </c>
      <c r="E230">
        <v>0.88</v>
      </c>
    </row>
    <row r="231" spans="1:5" x14ac:dyDescent="0.2">
      <c r="A231" t="s">
        <v>46</v>
      </c>
      <c r="B231" t="s">
        <v>265</v>
      </c>
      <c r="C231">
        <v>5</v>
      </c>
      <c r="D231">
        <v>3.8461538461538498E-2</v>
      </c>
      <c r="E231">
        <v>0.68</v>
      </c>
    </row>
    <row r="232" spans="1:5" x14ac:dyDescent="0.2">
      <c r="A232" t="s">
        <v>46</v>
      </c>
      <c r="B232" t="s">
        <v>265</v>
      </c>
      <c r="C232">
        <v>10</v>
      </c>
      <c r="D232">
        <v>5.34351145038168E-2</v>
      </c>
      <c r="E232">
        <v>0.93</v>
      </c>
    </row>
    <row r="233" spans="1:5" x14ac:dyDescent="0.2">
      <c r="A233" t="s">
        <v>46</v>
      </c>
      <c r="B233" t="s">
        <v>265</v>
      </c>
      <c r="C233">
        <v>15</v>
      </c>
      <c r="D233">
        <v>3.6363636363636397E-2</v>
      </c>
      <c r="E233">
        <v>0.89</v>
      </c>
    </row>
    <row r="234" spans="1:5" x14ac:dyDescent="0.2">
      <c r="A234" t="s">
        <v>46</v>
      </c>
      <c r="B234" t="s">
        <v>265</v>
      </c>
      <c r="C234">
        <v>20</v>
      </c>
      <c r="D234">
        <v>4.7138047138047097E-2</v>
      </c>
      <c r="E234">
        <v>1.04</v>
      </c>
    </row>
    <row r="235" spans="1:5" x14ac:dyDescent="0.2">
      <c r="A235" t="s">
        <v>46</v>
      </c>
      <c r="B235" t="s">
        <v>265</v>
      </c>
      <c r="C235">
        <v>25</v>
      </c>
      <c r="D235">
        <v>3.7037037037037E-2</v>
      </c>
      <c r="E235">
        <v>0.88</v>
      </c>
    </row>
    <row r="236" spans="1:5" x14ac:dyDescent="0.2">
      <c r="A236" t="s">
        <v>46</v>
      </c>
      <c r="B236" t="s">
        <v>254</v>
      </c>
      <c r="C236">
        <v>5</v>
      </c>
      <c r="D236">
        <v>0</v>
      </c>
      <c r="E236">
        <v>0.25</v>
      </c>
    </row>
    <row r="237" spans="1:5" x14ac:dyDescent="0.2">
      <c r="A237" t="s">
        <v>46</v>
      </c>
      <c r="B237" t="s">
        <v>254</v>
      </c>
      <c r="C237">
        <v>10</v>
      </c>
      <c r="D237">
        <v>0</v>
      </c>
      <c r="E237">
        <v>0.32</v>
      </c>
    </row>
    <row r="238" spans="1:5" x14ac:dyDescent="0.2">
      <c r="A238" t="s">
        <v>46</v>
      </c>
      <c r="B238" t="s">
        <v>254</v>
      </c>
      <c r="C238">
        <v>15</v>
      </c>
      <c r="D238">
        <v>0.14285714285714299</v>
      </c>
      <c r="E238">
        <v>0.39</v>
      </c>
    </row>
    <row r="239" spans="1:5" x14ac:dyDescent="0.2">
      <c r="A239" t="s">
        <v>46</v>
      </c>
      <c r="B239" t="s">
        <v>254</v>
      </c>
      <c r="C239">
        <v>20</v>
      </c>
      <c r="D239">
        <v>0.28571428571428598</v>
      </c>
      <c r="E239">
        <v>0.46</v>
      </c>
    </row>
    <row r="240" spans="1:5" x14ac:dyDescent="0.2">
      <c r="A240" t="s">
        <v>46</v>
      </c>
      <c r="B240" t="s">
        <v>254</v>
      </c>
      <c r="C240">
        <v>25</v>
      </c>
      <c r="D240">
        <v>0.307</v>
      </c>
      <c r="E240">
        <v>0.51</v>
      </c>
    </row>
    <row r="241" spans="1:5" x14ac:dyDescent="0.2">
      <c r="A241" t="s">
        <v>46</v>
      </c>
      <c r="B241" t="s">
        <v>276</v>
      </c>
      <c r="C241">
        <v>5</v>
      </c>
      <c r="D241">
        <v>0</v>
      </c>
      <c r="E241">
        <v>0.23</v>
      </c>
    </row>
    <row r="242" spans="1:5" x14ac:dyDescent="0.2">
      <c r="A242" t="s">
        <v>46</v>
      </c>
      <c r="B242" t="s">
        <v>276</v>
      </c>
      <c r="C242">
        <v>10</v>
      </c>
      <c r="D242">
        <v>0</v>
      </c>
      <c r="E242">
        <v>0.28999999999999998</v>
      </c>
    </row>
    <row r="243" spans="1:5" x14ac:dyDescent="0.2">
      <c r="A243" t="s">
        <v>46</v>
      </c>
      <c r="B243" t="s">
        <v>276</v>
      </c>
      <c r="C243">
        <v>15</v>
      </c>
      <c r="D243">
        <v>4.2553191489361701E-2</v>
      </c>
      <c r="E243">
        <v>0.38</v>
      </c>
    </row>
    <row r="244" spans="1:5" x14ac:dyDescent="0.2">
      <c r="A244" t="s">
        <v>46</v>
      </c>
      <c r="B244" t="s">
        <v>276</v>
      </c>
      <c r="C244">
        <v>20</v>
      </c>
      <c r="D244">
        <v>2.8985507246376802E-2</v>
      </c>
      <c r="E244">
        <v>0.41</v>
      </c>
    </row>
    <row r="245" spans="1:5" x14ac:dyDescent="0.2">
      <c r="A245" t="s">
        <v>46</v>
      </c>
      <c r="B245" t="s">
        <v>276</v>
      </c>
      <c r="C245">
        <v>25</v>
      </c>
      <c r="D245">
        <v>4.6511627906976799E-2</v>
      </c>
      <c r="E245">
        <v>0.46</v>
      </c>
    </row>
    <row r="246" spans="1:5" x14ac:dyDescent="0.2">
      <c r="A246" t="s">
        <v>47</v>
      </c>
      <c r="B246" t="s">
        <v>509</v>
      </c>
      <c r="C246">
        <v>5</v>
      </c>
      <c r="D246">
        <v>0</v>
      </c>
      <c r="E246">
        <v>0.55000000000000004</v>
      </c>
    </row>
    <row r="247" spans="1:5" x14ac:dyDescent="0.2">
      <c r="A247" t="s">
        <v>47</v>
      </c>
      <c r="B247" t="s">
        <v>509</v>
      </c>
      <c r="C247">
        <v>10</v>
      </c>
      <c r="D247">
        <v>1</v>
      </c>
      <c r="E247">
        <v>0.39</v>
      </c>
    </row>
    <row r="248" spans="1:5" x14ac:dyDescent="0.2">
      <c r="A248" t="s">
        <v>47</v>
      </c>
      <c r="B248" t="s">
        <v>509</v>
      </c>
      <c r="C248">
        <v>15</v>
      </c>
      <c r="D248">
        <v>1</v>
      </c>
      <c r="E248">
        <v>0.42</v>
      </c>
    </row>
    <row r="249" spans="1:5" x14ac:dyDescent="0.2">
      <c r="A249" t="s">
        <v>47</v>
      </c>
      <c r="B249" t="s">
        <v>509</v>
      </c>
      <c r="C249">
        <v>20</v>
      </c>
      <c r="D249">
        <v>1</v>
      </c>
      <c r="E249">
        <v>0.54</v>
      </c>
    </row>
    <row r="250" spans="1:5" x14ac:dyDescent="0.2">
      <c r="A250" t="s">
        <v>47</v>
      </c>
      <c r="B250" t="s">
        <v>509</v>
      </c>
      <c r="C250">
        <v>25</v>
      </c>
      <c r="D250">
        <v>1</v>
      </c>
      <c r="E250">
        <v>0.56999999999999995</v>
      </c>
    </row>
    <row r="251" spans="1:5" x14ac:dyDescent="0.2">
      <c r="A251" t="s">
        <v>47</v>
      </c>
      <c r="B251" t="s">
        <v>265</v>
      </c>
      <c r="C251">
        <v>5</v>
      </c>
      <c r="D251">
        <v>0</v>
      </c>
      <c r="E251">
        <v>0.23</v>
      </c>
    </row>
    <row r="252" spans="1:5" x14ac:dyDescent="0.2">
      <c r="A252" t="s">
        <v>47</v>
      </c>
      <c r="B252" t="s">
        <v>265</v>
      </c>
      <c r="C252">
        <v>10</v>
      </c>
      <c r="D252">
        <v>9.6774193548387094E-2</v>
      </c>
      <c r="E252">
        <v>0.33</v>
      </c>
    </row>
    <row r="253" spans="1:5" x14ac:dyDescent="0.2">
      <c r="A253" t="s">
        <v>47</v>
      </c>
      <c r="B253" t="s">
        <v>265</v>
      </c>
      <c r="C253">
        <v>15</v>
      </c>
      <c r="D253">
        <v>8.4033613445378103E-2</v>
      </c>
      <c r="E253">
        <v>0.39</v>
      </c>
    </row>
    <row r="254" spans="1:5" x14ac:dyDescent="0.2">
      <c r="A254" t="s">
        <v>47</v>
      </c>
      <c r="B254" t="s">
        <v>265</v>
      </c>
      <c r="C254">
        <v>20</v>
      </c>
      <c r="D254">
        <v>0.123711340206186</v>
      </c>
      <c r="E254">
        <v>0.44</v>
      </c>
    </row>
    <row r="255" spans="1:5" x14ac:dyDescent="0.2">
      <c r="A255" t="s">
        <v>47</v>
      </c>
      <c r="B255" t="s">
        <v>265</v>
      </c>
      <c r="C255">
        <v>25</v>
      </c>
      <c r="D255">
        <v>0.12631578947368399</v>
      </c>
      <c r="E255">
        <v>0.51</v>
      </c>
    </row>
    <row r="256" spans="1:5" x14ac:dyDescent="0.2">
      <c r="A256" t="s">
        <v>47</v>
      </c>
      <c r="B256" t="s">
        <v>254</v>
      </c>
      <c r="C256">
        <v>5</v>
      </c>
      <c r="D256">
        <v>0</v>
      </c>
      <c r="E256">
        <v>0.23</v>
      </c>
    </row>
    <row r="257" spans="1:5" x14ac:dyDescent="0.2">
      <c r="A257" t="s">
        <v>47</v>
      </c>
      <c r="B257" t="s">
        <v>254</v>
      </c>
      <c r="C257">
        <v>10</v>
      </c>
      <c r="D257">
        <v>0</v>
      </c>
      <c r="E257">
        <v>0.21</v>
      </c>
    </row>
    <row r="258" spans="1:5" x14ac:dyDescent="0.2">
      <c r="A258" t="s">
        <v>47</v>
      </c>
      <c r="B258" t="s">
        <v>254</v>
      </c>
      <c r="C258">
        <v>15</v>
      </c>
      <c r="D258">
        <v>0</v>
      </c>
      <c r="E258">
        <v>0.23</v>
      </c>
    </row>
    <row r="259" spans="1:5" x14ac:dyDescent="0.2">
      <c r="A259" t="s">
        <v>47</v>
      </c>
      <c r="B259" t="s">
        <v>254</v>
      </c>
      <c r="C259">
        <v>20</v>
      </c>
      <c r="D259">
        <v>0</v>
      </c>
      <c r="E259">
        <v>0.25</v>
      </c>
    </row>
    <row r="260" spans="1:5" x14ac:dyDescent="0.2">
      <c r="A260" t="s">
        <v>47</v>
      </c>
      <c r="B260" t="s">
        <v>254</v>
      </c>
      <c r="C260">
        <v>25</v>
      </c>
      <c r="D260">
        <v>0.66666666666666696</v>
      </c>
      <c r="E260">
        <v>0.25</v>
      </c>
    </row>
    <row r="261" spans="1:5" x14ac:dyDescent="0.2">
      <c r="A261" t="s">
        <v>47</v>
      </c>
      <c r="B261" t="s">
        <v>276</v>
      </c>
      <c r="C261">
        <v>5</v>
      </c>
      <c r="D261">
        <v>0</v>
      </c>
      <c r="E261">
        <v>0.18</v>
      </c>
    </row>
    <row r="262" spans="1:5" x14ac:dyDescent="0.2">
      <c r="A262" t="s">
        <v>47</v>
      </c>
      <c r="B262" t="s">
        <v>276</v>
      </c>
      <c r="C262">
        <v>10</v>
      </c>
      <c r="D262">
        <v>0</v>
      </c>
      <c r="E262">
        <v>0.18</v>
      </c>
    </row>
    <row r="263" spans="1:5" x14ac:dyDescent="0.2">
      <c r="A263" t="s">
        <v>47</v>
      </c>
      <c r="B263" t="s">
        <v>276</v>
      </c>
      <c r="C263">
        <v>15</v>
      </c>
      <c r="D263">
        <v>0</v>
      </c>
      <c r="E263">
        <v>0.17</v>
      </c>
    </row>
    <row r="264" spans="1:5" x14ac:dyDescent="0.2">
      <c r="A264" t="s">
        <v>47</v>
      </c>
      <c r="B264" t="s">
        <v>276</v>
      </c>
      <c r="C264">
        <v>20</v>
      </c>
      <c r="D264">
        <v>0</v>
      </c>
      <c r="E264">
        <v>0.17</v>
      </c>
    </row>
    <row r="265" spans="1:5" x14ac:dyDescent="0.2">
      <c r="A265" t="s">
        <v>47</v>
      </c>
      <c r="B265" t="s">
        <v>276</v>
      </c>
      <c r="C265">
        <v>25</v>
      </c>
      <c r="D265">
        <v>0.15384615384615399</v>
      </c>
      <c r="E265">
        <v>0.22</v>
      </c>
    </row>
    <row r="266" spans="1:5" x14ac:dyDescent="0.2">
      <c r="A266" t="s">
        <v>48</v>
      </c>
      <c r="B266" t="s">
        <v>509</v>
      </c>
      <c r="C266">
        <v>5</v>
      </c>
      <c r="D266">
        <v>0.66666666666666696</v>
      </c>
      <c r="E266">
        <v>1.06</v>
      </c>
    </row>
    <row r="267" spans="1:5" x14ac:dyDescent="0.2">
      <c r="A267" t="s">
        <v>48</v>
      </c>
      <c r="B267" t="s">
        <v>509</v>
      </c>
      <c r="C267">
        <v>10</v>
      </c>
      <c r="D267">
        <v>0.66666666666666696</v>
      </c>
      <c r="E267">
        <v>1.01</v>
      </c>
    </row>
    <row r="268" spans="1:5" x14ac:dyDescent="0.2">
      <c r="A268" t="s">
        <v>48</v>
      </c>
      <c r="B268" t="s">
        <v>509</v>
      </c>
      <c r="C268">
        <v>15</v>
      </c>
      <c r="D268">
        <v>0.66666666666666696</v>
      </c>
      <c r="E268">
        <v>1.03</v>
      </c>
    </row>
    <row r="269" spans="1:5" x14ac:dyDescent="0.2">
      <c r="A269" t="s">
        <v>48</v>
      </c>
      <c r="B269" t="s">
        <v>509</v>
      </c>
      <c r="C269">
        <v>20</v>
      </c>
      <c r="D269">
        <v>0.66666666666666696</v>
      </c>
      <c r="E269">
        <v>1.04</v>
      </c>
    </row>
    <row r="270" spans="1:5" x14ac:dyDescent="0.2">
      <c r="A270" t="s">
        <v>48</v>
      </c>
      <c r="B270" t="s">
        <v>509</v>
      </c>
      <c r="C270">
        <v>25</v>
      </c>
      <c r="D270">
        <v>0.66666666666666696</v>
      </c>
      <c r="E270">
        <v>0.99</v>
      </c>
    </row>
    <row r="271" spans="1:5" x14ac:dyDescent="0.2">
      <c r="A271" t="s">
        <v>48</v>
      </c>
      <c r="B271" t="s">
        <v>265</v>
      </c>
      <c r="C271">
        <v>5</v>
      </c>
      <c r="D271">
        <v>4.0462427745664699E-2</v>
      </c>
      <c r="E271">
        <v>0.6</v>
      </c>
    </row>
    <row r="272" spans="1:5" x14ac:dyDescent="0.2">
      <c r="A272" t="s">
        <v>48</v>
      </c>
      <c r="B272" t="s">
        <v>265</v>
      </c>
      <c r="C272">
        <v>10</v>
      </c>
      <c r="D272">
        <v>3.97727272727273E-2</v>
      </c>
      <c r="E272">
        <v>0.83</v>
      </c>
    </row>
    <row r="273" spans="1:5" x14ac:dyDescent="0.2">
      <c r="A273" t="s">
        <v>48</v>
      </c>
      <c r="B273" t="s">
        <v>265</v>
      </c>
      <c r="C273">
        <v>15</v>
      </c>
      <c r="D273">
        <v>4.2424242424242399E-2</v>
      </c>
      <c r="E273">
        <v>0.81</v>
      </c>
    </row>
    <row r="274" spans="1:5" x14ac:dyDescent="0.2">
      <c r="A274" t="s">
        <v>48</v>
      </c>
      <c r="B274" t="s">
        <v>265</v>
      </c>
      <c r="C274">
        <v>20</v>
      </c>
      <c r="D274">
        <v>4.2944785276073601E-2</v>
      </c>
      <c r="E274">
        <v>0.89</v>
      </c>
    </row>
    <row r="275" spans="1:5" x14ac:dyDescent="0.2">
      <c r="A275" t="s">
        <v>48</v>
      </c>
      <c r="B275" t="s">
        <v>265</v>
      </c>
      <c r="C275">
        <v>25</v>
      </c>
      <c r="D275">
        <v>4.3076923076923103E-2</v>
      </c>
      <c r="E275">
        <v>0.82</v>
      </c>
    </row>
    <row r="276" spans="1:5" x14ac:dyDescent="0.2">
      <c r="A276" t="s">
        <v>48</v>
      </c>
      <c r="B276" t="s">
        <v>254</v>
      </c>
      <c r="C276">
        <v>5</v>
      </c>
      <c r="D276">
        <v>0</v>
      </c>
      <c r="E276">
        <v>0.3</v>
      </c>
    </row>
    <row r="277" spans="1:5" x14ac:dyDescent="0.2">
      <c r="A277" t="s">
        <v>48</v>
      </c>
      <c r="B277" t="s">
        <v>254</v>
      </c>
      <c r="C277">
        <v>10</v>
      </c>
      <c r="D277">
        <v>0</v>
      </c>
      <c r="E277">
        <v>0.4</v>
      </c>
    </row>
    <row r="278" spans="1:5" x14ac:dyDescent="0.2">
      <c r="A278" t="s">
        <v>48</v>
      </c>
      <c r="B278" t="s">
        <v>254</v>
      </c>
      <c r="C278">
        <v>15</v>
      </c>
      <c r="D278">
        <v>0.30769230769230799</v>
      </c>
      <c r="E278">
        <v>0.59</v>
      </c>
    </row>
    <row r="279" spans="1:5" x14ac:dyDescent="0.2">
      <c r="A279" t="s">
        <v>48</v>
      </c>
      <c r="B279" t="s">
        <v>254</v>
      </c>
      <c r="C279">
        <v>20</v>
      </c>
      <c r="D279">
        <v>0.375</v>
      </c>
      <c r="E279">
        <v>0.67</v>
      </c>
    </row>
    <row r="280" spans="1:5" x14ac:dyDescent="0.2">
      <c r="A280" t="s">
        <v>48</v>
      </c>
      <c r="B280" t="s">
        <v>254</v>
      </c>
      <c r="C280">
        <v>25</v>
      </c>
      <c r="D280">
        <v>0.28571428571428598</v>
      </c>
      <c r="E280">
        <v>0.72</v>
      </c>
    </row>
    <row r="281" spans="1:5" x14ac:dyDescent="0.2">
      <c r="A281" t="s">
        <v>48</v>
      </c>
      <c r="B281" t="s">
        <v>276</v>
      </c>
      <c r="C281">
        <v>5</v>
      </c>
      <c r="D281">
        <v>0</v>
      </c>
      <c r="E281">
        <v>0.2</v>
      </c>
    </row>
    <row r="282" spans="1:5" x14ac:dyDescent="0.2">
      <c r="A282" t="s">
        <v>48</v>
      </c>
      <c r="B282" t="s">
        <v>276</v>
      </c>
      <c r="C282">
        <v>10</v>
      </c>
      <c r="D282">
        <v>0</v>
      </c>
      <c r="E282">
        <v>0.24</v>
      </c>
    </row>
    <row r="283" spans="1:5" x14ac:dyDescent="0.2">
      <c r="A283" t="s">
        <v>48</v>
      </c>
      <c r="B283" t="s">
        <v>276</v>
      </c>
      <c r="C283">
        <v>15</v>
      </c>
      <c r="D283">
        <v>5.5555555555555601E-2</v>
      </c>
      <c r="E283">
        <v>0.32</v>
      </c>
    </row>
    <row r="284" spans="1:5" x14ac:dyDescent="0.2">
      <c r="A284" t="s">
        <v>48</v>
      </c>
      <c r="B284" t="s">
        <v>276</v>
      </c>
      <c r="C284">
        <v>20</v>
      </c>
      <c r="D284">
        <v>5.5555555555555601E-2</v>
      </c>
      <c r="E284">
        <v>0.38</v>
      </c>
    </row>
    <row r="285" spans="1:5" x14ac:dyDescent="0.2">
      <c r="A285" t="s">
        <v>48</v>
      </c>
      <c r="B285" t="s">
        <v>276</v>
      </c>
      <c r="C285">
        <v>25</v>
      </c>
      <c r="D285">
        <v>6.8181818181818205E-2</v>
      </c>
      <c r="E285">
        <v>0.41</v>
      </c>
    </row>
    <row r="286" spans="1:5" x14ac:dyDescent="0.2">
      <c r="A286" t="s">
        <v>33</v>
      </c>
      <c r="B286" t="s">
        <v>509</v>
      </c>
      <c r="C286">
        <v>5</v>
      </c>
      <c r="D286">
        <v>1</v>
      </c>
      <c r="E286">
        <v>8.8000000000000007</v>
      </c>
    </row>
    <row r="287" spans="1:5" x14ac:dyDescent="0.2">
      <c r="A287" t="s">
        <v>33</v>
      </c>
      <c r="B287" t="s">
        <v>509</v>
      </c>
      <c r="C287">
        <v>10</v>
      </c>
      <c r="D287">
        <v>1</v>
      </c>
      <c r="E287">
        <v>9.6300000000000008</v>
      </c>
    </row>
    <row r="288" spans="1:5" x14ac:dyDescent="0.2">
      <c r="A288" t="s">
        <v>33</v>
      </c>
      <c r="B288" t="s">
        <v>509</v>
      </c>
      <c r="C288">
        <v>15</v>
      </c>
      <c r="D288">
        <v>1</v>
      </c>
      <c r="E288">
        <v>10.83</v>
      </c>
    </row>
    <row r="289" spans="1:5" x14ac:dyDescent="0.2">
      <c r="A289" t="s">
        <v>33</v>
      </c>
      <c r="B289" t="s">
        <v>509</v>
      </c>
      <c r="C289">
        <v>20</v>
      </c>
      <c r="D289">
        <v>1</v>
      </c>
      <c r="E289">
        <v>11.77</v>
      </c>
    </row>
    <row r="290" spans="1:5" x14ac:dyDescent="0.2">
      <c r="A290" t="s">
        <v>33</v>
      </c>
      <c r="B290" t="s">
        <v>509</v>
      </c>
      <c r="C290">
        <v>25</v>
      </c>
      <c r="D290">
        <v>1</v>
      </c>
      <c r="E290">
        <v>13.02</v>
      </c>
    </row>
    <row r="291" spans="1:5" x14ac:dyDescent="0.2">
      <c r="A291" t="s">
        <v>33</v>
      </c>
      <c r="B291" t="s">
        <v>265</v>
      </c>
      <c r="C291">
        <v>5</v>
      </c>
      <c r="D291">
        <v>0</v>
      </c>
      <c r="E291">
        <v>7.1199999999999992</v>
      </c>
    </row>
    <row r="292" spans="1:5" x14ac:dyDescent="0.2">
      <c r="A292" t="s">
        <v>33</v>
      </c>
      <c r="B292" t="s">
        <v>265</v>
      </c>
      <c r="C292">
        <v>10</v>
      </c>
      <c r="D292">
        <v>0</v>
      </c>
      <c r="E292">
        <v>8.91</v>
      </c>
    </row>
    <row r="293" spans="1:5" x14ac:dyDescent="0.2">
      <c r="A293" t="s">
        <v>33</v>
      </c>
      <c r="B293" t="s">
        <v>265</v>
      </c>
      <c r="C293">
        <v>15</v>
      </c>
      <c r="D293">
        <v>0</v>
      </c>
      <c r="E293">
        <v>10.19</v>
      </c>
    </row>
    <row r="294" spans="1:5" x14ac:dyDescent="0.2">
      <c r="A294" t="s">
        <v>33</v>
      </c>
      <c r="B294" t="s">
        <v>265</v>
      </c>
      <c r="C294">
        <v>20</v>
      </c>
      <c r="D294">
        <v>0.75</v>
      </c>
      <c r="E294">
        <v>11.44</v>
      </c>
    </row>
    <row r="295" spans="1:5" x14ac:dyDescent="0.2">
      <c r="A295" t="s">
        <v>33</v>
      </c>
      <c r="B295" t="s">
        <v>265</v>
      </c>
      <c r="C295">
        <v>25</v>
      </c>
      <c r="D295">
        <v>0.75</v>
      </c>
      <c r="E295">
        <v>12.35</v>
      </c>
    </row>
    <row r="296" spans="1:5" x14ac:dyDescent="0.2">
      <c r="A296" t="s">
        <v>33</v>
      </c>
      <c r="B296" t="s">
        <v>254</v>
      </c>
      <c r="C296">
        <v>5</v>
      </c>
      <c r="D296">
        <v>0</v>
      </c>
      <c r="E296">
        <v>6.59</v>
      </c>
    </row>
    <row r="297" spans="1:5" x14ac:dyDescent="0.2">
      <c r="A297" t="s">
        <v>33</v>
      </c>
      <c r="B297" t="s">
        <v>254</v>
      </c>
      <c r="C297">
        <v>10</v>
      </c>
      <c r="D297">
        <v>0</v>
      </c>
      <c r="E297">
        <v>7.95</v>
      </c>
    </row>
    <row r="298" spans="1:5" x14ac:dyDescent="0.2">
      <c r="A298" t="s">
        <v>33</v>
      </c>
      <c r="B298" t="s">
        <v>254</v>
      </c>
      <c r="C298">
        <v>15</v>
      </c>
      <c r="D298">
        <v>0</v>
      </c>
      <c r="E298">
        <v>10.16</v>
      </c>
    </row>
    <row r="299" spans="1:5" x14ac:dyDescent="0.2">
      <c r="A299" t="s">
        <v>33</v>
      </c>
      <c r="B299" t="s">
        <v>254</v>
      </c>
      <c r="C299">
        <v>20</v>
      </c>
      <c r="D299">
        <v>0</v>
      </c>
      <c r="E299">
        <v>13.43</v>
      </c>
    </row>
    <row r="300" spans="1:5" x14ac:dyDescent="0.2">
      <c r="A300" t="s">
        <v>33</v>
      </c>
      <c r="B300" t="s">
        <v>254</v>
      </c>
      <c r="C300">
        <v>25</v>
      </c>
      <c r="D300">
        <v>0</v>
      </c>
      <c r="E300">
        <v>12.59</v>
      </c>
    </row>
    <row r="301" spans="1:5" x14ac:dyDescent="0.2">
      <c r="A301" t="s">
        <v>33</v>
      </c>
      <c r="B301" t="s">
        <v>276</v>
      </c>
      <c r="C301">
        <v>5</v>
      </c>
      <c r="D301">
        <v>0</v>
      </c>
      <c r="E301">
        <v>6.06</v>
      </c>
    </row>
    <row r="302" spans="1:5" x14ac:dyDescent="0.2">
      <c r="A302" t="s">
        <v>33</v>
      </c>
      <c r="B302" t="s">
        <v>276</v>
      </c>
      <c r="C302">
        <v>10</v>
      </c>
      <c r="D302">
        <v>0</v>
      </c>
      <c r="E302">
        <v>7.5699999999999994</v>
      </c>
    </row>
    <row r="303" spans="1:5" x14ac:dyDescent="0.2">
      <c r="A303" t="s">
        <v>33</v>
      </c>
      <c r="B303" t="s">
        <v>276</v>
      </c>
      <c r="C303">
        <v>15</v>
      </c>
      <c r="D303">
        <v>0</v>
      </c>
      <c r="E303">
        <v>9.4700000000000006</v>
      </c>
    </row>
    <row r="304" spans="1:5" x14ac:dyDescent="0.2">
      <c r="A304" t="s">
        <v>33</v>
      </c>
      <c r="B304" t="s">
        <v>276</v>
      </c>
      <c r="C304">
        <v>20</v>
      </c>
      <c r="D304">
        <v>0</v>
      </c>
      <c r="E304">
        <v>11.57</v>
      </c>
    </row>
    <row r="305" spans="1:5" x14ac:dyDescent="0.2">
      <c r="A305" t="s">
        <v>33</v>
      </c>
      <c r="B305" t="s">
        <v>276</v>
      </c>
      <c r="C305">
        <v>25</v>
      </c>
      <c r="D305">
        <v>0</v>
      </c>
      <c r="E305">
        <v>12.36</v>
      </c>
    </row>
    <row r="306" spans="1:5" x14ac:dyDescent="0.2">
      <c r="A306" t="s">
        <v>34</v>
      </c>
      <c r="B306" t="s">
        <v>509</v>
      </c>
      <c r="C306">
        <v>0.25</v>
      </c>
      <c r="D306">
        <v>0</v>
      </c>
      <c r="E306">
        <v>107.16</v>
      </c>
    </row>
    <row r="307" spans="1:5" x14ac:dyDescent="0.2">
      <c r="A307" t="s">
        <v>34</v>
      </c>
      <c r="B307" t="s">
        <v>509</v>
      </c>
      <c r="C307">
        <v>0.5</v>
      </c>
      <c r="D307">
        <v>0.90909090909090895</v>
      </c>
      <c r="E307">
        <v>378.82</v>
      </c>
    </row>
    <row r="308" spans="1:5" x14ac:dyDescent="0.2">
      <c r="A308" t="s">
        <v>34</v>
      </c>
      <c r="B308" t="s">
        <v>509</v>
      </c>
      <c r="C308">
        <v>0.75</v>
      </c>
      <c r="D308">
        <v>0.90909090909090895</v>
      </c>
      <c r="E308">
        <v>265.45</v>
      </c>
    </row>
    <row r="309" spans="1:5" x14ac:dyDescent="0.2">
      <c r="A309" t="s">
        <v>34</v>
      </c>
      <c r="B309" t="s">
        <v>509</v>
      </c>
      <c r="C309">
        <v>1</v>
      </c>
      <c r="D309">
        <v>0.90909090909090895</v>
      </c>
      <c r="E309">
        <v>402.44</v>
      </c>
    </row>
    <row r="310" spans="1:5" x14ac:dyDescent="0.2">
      <c r="A310" t="s">
        <v>34</v>
      </c>
      <c r="B310" t="s">
        <v>509</v>
      </c>
      <c r="C310">
        <v>1.25</v>
      </c>
      <c r="D310">
        <v>0.90909090909090895</v>
      </c>
      <c r="E310">
        <v>287.47000000000003</v>
      </c>
    </row>
    <row r="311" spans="1:5" x14ac:dyDescent="0.2">
      <c r="A311" t="s">
        <v>34</v>
      </c>
      <c r="B311" t="s">
        <v>265</v>
      </c>
      <c r="C311">
        <v>0.25</v>
      </c>
      <c r="D311">
        <v>0</v>
      </c>
      <c r="E311">
        <v>82.86</v>
      </c>
    </row>
    <row r="312" spans="1:5" x14ac:dyDescent="0.2">
      <c r="A312" t="s">
        <v>34</v>
      </c>
      <c r="B312" t="s">
        <v>265</v>
      </c>
      <c r="C312">
        <v>0.5</v>
      </c>
      <c r="D312">
        <v>5.1098620337250902E-3</v>
      </c>
      <c r="E312">
        <v>206.71</v>
      </c>
    </row>
    <row r="313" spans="1:5" x14ac:dyDescent="0.2">
      <c r="A313" t="s">
        <v>34</v>
      </c>
      <c r="B313" t="s">
        <v>265</v>
      </c>
      <c r="C313">
        <v>0.75</v>
      </c>
      <c r="D313">
        <v>5.5710306406685202E-3</v>
      </c>
      <c r="E313">
        <v>400.66</v>
      </c>
    </row>
    <row r="314" spans="1:5" x14ac:dyDescent="0.2">
      <c r="A314" t="s">
        <v>34</v>
      </c>
      <c r="B314" t="s">
        <v>265</v>
      </c>
      <c r="C314">
        <v>1</v>
      </c>
      <c r="D314">
        <v>5.4555373704309896E-3</v>
      </c>
      <c r="E314">
        <v>251.64</v>
      </c>
    </row>
    <row r="315" spans="1:5" x14ac:dyDescent="0.2">
      <c r="A315" t="s">
        <v>34</v>
      </c>
      <c r="B315" t="s">
        <v>265</v>
      </c>
      <c r="C315">
        <v>1.25</v>
      </c>
      <c r="D315">
        <v>5.5126791620727696E-3</v>
      </c>
      <c r="E315">
        <v>488.85</v>
      </c>
    </row>
    <row r="316" spans="1:5" x14ac:dyDescent="0.2">
      <c r="A316" t="s">
        <v>34</v>
      </c>
      <c r="B316" t="s">
        <v>254</v>
      </c>
      <c r="C316">
        <v>0.25</v>
      </c>
      <c r="D316">
        <v>0</v>
      </c>
      <c r="E316">
        <v>43.73</v>
      </c>
    </row>
    <row r="317" spans="1:5" x14ac:dyDescent="0.2">
      <c r="A317" t="s">
        <v>34</v>
      </c>
      <c r="B317" t="s">
        <v>254</v>
      </c>
      <c r="C317">
        <v>0.5</v>
      </c>
      <c r="D317">
        <v>9.5238095238095205E-2</v>
      </c>
      <c r="E317">
        <v>86.73</v>
      </c>
    </row>
    <row r="318" spans="1:5" x14ac:dyDescent="0.2">
      <c r="A318" t="s">
        <v>34</v>
      </c>
      <c r="B318" t="s">
        <v>254</v>
      </c>
      <c r="C318">
        <v>0.75</v>
      </c>
      <c r="D318">
        <v>0.12</v>
      </c>
      <c r="E318">
        <v>115.13</v>
      </c>
    </row>
    <row r="319" spans="1:5" x14ac:dyDescent="0.2">
      <c r="A319" t="s">
        <v>34</v>
      </c>
      <c r="B319" t="s">
        <v>254</v>
      </c>
      <c r="C319">
        <v>1</v>
      </c>
      <c r="D319">
        <v>0.13400000000000001</v>
      </c>
      <c r="E319">
        <v>151.81</v>
      </c>
    </row>
    <row r="320" spans="1:5" x14ac:dyDescent="0.2">
      <c r="A320" t="s">
        <v>34</v>
      </c>
      <c r="B320" t="s">
        <v>254</v>
      </c>
      <c r="C320">
        <v>1.25</v>
      </c>
      <c r="D320">
        <v>0.14499999999999999</v>
      </c>
      <c r="E320">
        <v>182.68</v>
      </c>
    </row>
    <row r="321" spans="1:5" x14ac:dyDescent="0.2">
      <c r="A321" t="s">
        <v>34</v>
      </c>
      <c r="B321" t="s">
        <v>276</v>
      </c>
      <c r="C321">
        <v>0.25</v>
      </c>
      <c r="D321">
        <v>0</v>
      </c>
      <c r="E321">
        <v>41.47</v>
      </c>
    </row>
    <row r="322" spans="1:5" x14ac:dyDescent="0.2">
      <c r="A322" t="s">
        <v>34</v>
      </c>
      <c r="B322" t="s">
        <v>276</v>
      </c>
      <c r="C322">
        <v>0.5</v>
      </c>
      <c r="D322">
        <v>6.80272108843538E-3</v>
      </c>
      <c r="E322">
        <v>81.790000000000006</v>
      </c>
    </row>
    <row r="323" spans="1:5" x14ac:dyDescent="0.2">
      <c r="A323" t="s">
        <v>34</v>
      </c>
      <c r="B323" t="s">
        <v>276</v>
      </c>
      <c r="C323">
        <v>0.75</v>
      </c>
      <c r="D323">
        <v>3.27332242225859E-3</v>
      </c>
      <c r="E323">
        <v>108.97</v>
      </c>
    </row>
    <row r="324" spans="1:5" x14ac:dyDescent="0.2">
      <c r="A324" t="s">
        <v>34</v>
      </c>
      <c r="B324" t="s">
        <v>276</v>
      </c>
      <c r="C324">
        <v>1</v>
      </c>
      <c r="D324">
        <v>6.80272108843538E-3</v>
      </c>
      <c r="E324">
        <v>148.83000000000001</v>
      </c>
    </row>
    <row r="325" spans="1:5" x14ac:dyDescent="0.2">
      <c r="A325" t="s">
        <v>34</v>
      </c>
      <c r="B325" t="s">
        <v>276</v>
      </c>
      <c r="C325">
        <v>1.25</v>
      </c>
      <c r="D325">
        <v>6.80272108843538E-3</v>
      </c>
      <c r="E325">
        <v>188.4</v>
      </c>
    </row>
    <row r="326" spans="1:5" x14ac:dyDescent="0.2">
      <c r="A326" t="s">
        <v>0</v>
      </c>
      <c r="B326" t="s">
        <v>72</v>
      </c>
      <c r="C326" t="s">
        <v>77</v>
      </c>
      <c r="D326" t="s">
        <v>85</v>
      </c>
      <c r="E326" t="s">
        <v>86</v>
      </c>
    </row>
  </sheetData>
  <pageMargins left="0.75" right="0.75" top="1" bottom="1" header="0.5" footer="0.5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75"/>
  <sheetViews>
    <sheetView topLeftCell="A48" workbookViewId="0">
      <selection activeCell="W85" sqref="W85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81</v>
      </c>
      <c r="C1" t="s">
        <v>77</v>
      </c>
      <c r="D1" t="s">
        <v>442</v>
      </c>
    </row>
    <row r="2" spans="1:4" x14ac:dyDescent="0.2">
      <c r="A2" t="s">
        <v>34</v>
      </c>
      <c r="B2" t="s">
        <v>511</v>
      </c>
      <c r="C2">
        <v>0.25</v>
      </c>
      <c r="D2">
        <v>0.28571428571428598</v>
      </c>
    </row>
    <row r="3" spans="1:4" x14ac:dyDescent="0.2">
      <c r="A3" t="s">
        <v>34</v>
      </c>
      <c r="B3" t="s">
        <v>511</v>
      </c>
      <c r="C3">
        <v>0.5</v>
      </c>
      <c r="D3">
        <v>0.25</v>
      </c>
    </row>
    <row r="4" spans="1:4" x14ac:dyDescent="0.2">
      <c r="A4" t="s">
        <v>34</v>
      </c>
      <c r="B4" t="s">
        <v>511</v>
      </c>
      <c r="C4">
        <v>0.75</v>
      </c>
      <c r="D4">
        <v>0.25</v>
      </c>
    </row>
    <row r="5" spans="1:4" x14ac:dyDescent="0.2">
      <c r="A5" t="s">
        <v>34</v>
      </c>
      <c r="B5" t="s">
        <v>511</v>
      </c>
      <c r="C5">
        <v>1</v>
      </c>
      <c r="D5">
        <v>0.54545454545454497</v>
      </c>
    </row>
    <row r="6" spans="1:4" x14ac:dyDescent="0.2">
      <c r="A6" t="s">
        <v>34</v>
      </c>
      <c r="B6" t="s">
        <v>511</v>
      </c>
      <c r="C6">
        <v>1.25</v>
      </c>
      <c r="D6">
        <v>0.8</v>
      </c>
    </row>
    <row r="7" spans="1:4" x14ac:dyDescent="0.2">
      <c r="A7" t="s">
        <v>34</v>
      </c>
      <c r="B7" t="s">
        <v>512</v>
      </c>
      <c r="C7">
        <v>0.25</v>
      </c>
      <c r="D7">
        <v>0.66666666666666696</v>
      </c>
    </row>
    <row r="8" spans="1:4" x14ac:dyDescent="0.2">
      <c r="A8" t="s">
        <v>34</v>
      </c>
      <c r="B8" t="s">
        <v>512</v>
      </c>
      <c r="C8">
        <v>0.5</v>
      </c>
      <c r="D8">
        <v>0.66666666666666696</v>
      </c>
    </row>
    <row r="9" spans="1:4" x14ac:dyDescent="0.2">
      <c r="A9" t="s">
        <v>34</v>
      </c>
      <c r="B9" t="s">
        <v>512</v>
      </c>
      <c r="C9">
        <v>0.75</v>
      </c>
      <c r="D9">
        <v>0.66666666666666696</v>
      </c>
    </row>
    <row r="10" spans="1:4" x14ac:dyDescent="0.2">
      <c r="A10" t="s">
        <v>34</v>
      </c>
      <c r="B10" t="s">
        <v>512</v>
      </c>
      <c r="C10">
        <v>1</v>
      </c>
      <c r="D10">
        <v>0.72727269999999999</v>
      </c>
    </row>
    <row r="11" spans="1:4" x14ac:dyDescent="0.2">
      <c r="A11" t="s">
        <v>34</v>
      </c>
      <c r="B11" t="s">
        <v>512</v>
      </c>
      <c r="C11">
        <v>1.25</v>
      </c>
      <c r="D11">
        <v>0.8</v>
      </c>
    </row>
    <row r="12" spans="1:4" x14ac:dyDescent="0.2">
      <c r="A12" t="s">
        <v>34</v>
      </c>
      <c r="B12" t="s">
        <v>513</v>
      </c>
      <c r="C12">
        <v>0.25</v>
      </c>
      <c r="D12">
        <v>0.71430000000000005</v>
      </c>
    </row>
    <row r="13" spans="1:4" x14ac:dyDescent="0.2">
      <c r="A13" t="s">
        <v>34</v>
      </c>
      <c r="B13" t="s">
        <v>513</v>
      </c>
      <c r="C13">
        <v>0.5</v>
      </c>
      <c r="D13">
        <v>0.71430000000000005</v>
      </c>
    </row>
    <row r="14" spans="1:4" x14ac:dyDescent="0.2">
      <c r="A14" t="s">
        <v>34</v>
      </c>
      <c r="B14" t="s">
        <v>513</v>
      </c>
      <c r="C14">
        <v>0.75</v>
      </c>
      <c r="D14">
        <v>0.76919999999999999</v>
      </c>
    </row>
    <row r="15" spans="1:4" x14ac:dyDescent="0.2">
      <c r="A15" t="s">
        <v>34</v>
      </c>
      <c r="B15" t="s">
        <v>513</v>
      </c>
      <c r="C15">
        <v>1</v>
      </c>
      <c r="D15">
        <v>0.76919999999999999</v>
      </c>
    </row>
    <row r="16" spans="1:4" x14ac:dyDescent="0.2">
      <c r="A16" t="s">
        <v>34</v>
      </c>
      <c r="B16" t="s">
        <v>513</v>
      </c>
      <c r="C16">
        <v>1.25</v>
      </c>
      <c r="D16">
        <v>0.83330000000000004</v>
      </c>
    </row>
    <row r="17" spans="1:4" x14ac:dyDescent="0.2">
      <c r="A17" t="s">
        <v>34</v>
      </c>
      <c r="B17" t="s">
        <v>180</v>
      </c>
      <c r="C17">
        <v>0.25</v>
      </c>
      <c r="D17">
        <v>0</v>
      </c>
    </row>
    <row r="18" spans="1:4" x14ac:dyDescent="0.2">
      <c r="A18" t="s">
        <v>34</v>
      </c>
      <c r="B18" t="s">
        <v>180</v>
      </c>
      <c r="C18">
        <v>0.5</v>
      </c>
      <c r="D18">
        <v>0.90909090909090895</v>
      </c>
    </row>
    <row r="19" spans="1:4" x14ac:dyDescent="0.2">
      <c r="A19" t="s">
        <v>34</v>
      </c>
      <c r="B19" t="s">
        <v>180</v>
      </c>
      <c r="C19">
        <v>0.75</v>
      </c>
      <c r="D19">
        <v>0.90909090909090895</v>
      </c>
    </row>
    <row r="20" spans="1:4" x14ac:dyDescent="0.2">
      <c r="A20" t="s">
        <v>34</v>
      </c>
      <c r="B20" t="s">
        <v>180</v>
      </c>
      <c r="C20">
        <v>1</v>
      </c>
      <c r="D20">
        <v>0.90909090909090895</v>
      </c>
    </row>
    <row r="21" spans="1:4" x14ac:dyDescent="0.2">
      <c r="A21" t="s">
        <v>34</v>
      </c>
      <c r="B21" t="s">
        <v>180</v>
      </c>
      <c r="C21">
        <v>1.25</v>
      </c>
      <c r="D21">
        <v>0.90909090909090895</v>
      </c>
    </row>
    <row r="22" spans="1:4" x14ac:dyDescent="0.2">
      <c r="A22" t="s">
        <v>34</v>
      </c>
      <c r="B22" t="s">
        <v>510</v>
      </c>
      <c r="C22">
        <v>100</v>
      </c>
      <c r="D22">
        <v>0.76900000000000002</v>
      </c>
    </row>
    <row r="23" spans="1:4" x14ac:dyDescent="0.2">
      <c r="A23" t="s">
        <v>36</v>
      </c>
      <c r="B23" t="s">
        <v>514</v>
      </c>
      <c r="C23">
        <v>5</v>
      </c>
      <c r="D23">
        <v>0.10579857578840279</v>
      </c>
    </row>
    <row r="24" spans="1:4" x14ac:dyDescent="0.2">
      <c r="A24" t="s">
        <v>36</v>
      </c>
      <c r="B24" t="s">
        <v>514</v>
      </c>
      <c r="C24">
        <v>10</v>
      </c>
      <c r="D24">
        <v>0.24199288256227749</v>
      </c>
    </row>
    <row r="25" spans="1:4" x14ac:dyDescent="0.2">
      <c r="A25" t="s">
        <v>36</v>
      </c>
      <c r="B25" t="s">
        <v>514</v>
      </c>
      <c r="C25">
        <v>15</v>
      </c>
      <c r="D25">
        <v>0.79365079365079361</v>
      </c>
    </row>
    <row r="26" spans="1:4" x14ac:dyDescent="0.2">
      <c r="A26" t="s">
        <v>36</v>
      </c>
      <c r="B26" t="s">
        <v>514</v>
      </c>
      <c r="C26">
        <v>20</v>
      </c>
      <c r="D26">
        <v>0.88622754491017963</v>
      </c>
    </row>
    <row r="27" spans="1:4" x14ac:dyDescent="0.2">
      <c r="A27" t="s">
        <v>36</v>
      </c>
      <c r="B27" t="s">
        <v>514</v>
      </c>
      <c r="C27">
        <v>25</v>
      </c>
      <c r="D27">
        <v>0.88622754491017963</v>
      </c>
    </row>
    <row r="28" spans="1:4" x14ac:dyDescent="0.2">
      <c r="A28" t="s">
        <v>36</v>
      </c>
      <c r="B28" t="s">
        <v>180</v>
      </c>
      <c r="C28">
        <v>5</v>
      </c>
      <c r="D28">
        <v>0.52713178294573648</v>
      </c>
    </row>
    <row r="29" spans="1:4" x14ac:dyDescent="0.2">
      <c r="A29" t="s">
        <v>36</v>
      </c>
      <c r="B29" t="s">
        <v>180</v>
      </c>
      <c r="C29">
        <v>10</v>
      </c>
      <c r="D29">
        <v>0.75903614457831314</v>
      </c>
    </row>
    <row r="30" spans="1:4" x14ac:dyDescent="0.2">
      <c r="A30" t="s">
        <v>36</v>
      </c>
      <c r="B30" t="s">
        <v>180</v>
      </c>
      <c r="C30">
        <v>15</v>
      </c>
      <c r="D30">
        <v>0.85365853658536583</v>
      </c>
    </row>
    <row r="31" spans="1:4" x14ac:dyDescent="0.2">
      <c r="A31" t="s">
        <v>36</v>
      </c>
      <c r="B31" t="s">
        <v>180</v>
      </c>
      <c r="C31">
        <v>20</v>
      </c>
      <c r="D31">
        <v>0.8571428571428571</v>
      </c>
    </row>
    <row r="32" spans="1:4" x14ac:dyDescent="0.2">
      <c r="A32" t="s">
        <v>36</v>
      </c>
      <c r="B32" t="s">
        <v>180</v>
      </c>
      <c r="C32">
        <v>25</v>
      </c>
      <c r="D32">
        <v>0.88095238095238104</v>
      </c>
    </row>
    <row r="33" spans="1:4" x14ac:dyDescent="0.2">
      <c r="A33" t="s">
        <v>36</v>
      </c>
      <c r="B33" t="s">
        <v>510</v>
      </c>
      <c r="C33">
        <v>100</v>
      </c>
      <c r="D33">
        <v>0.77124183006535996</v>
      </c>
    </row>
    <row r="34" spans="1:4" x14ac:dyDescent="0.2">
      <c r="A34" t="s">
        <v>37</v>
      </c>
      <c r="B34" t="s">
        <v>511</v>
      </c>
      <c r="C34">
        <v>5</v>
      </c>
      <c r="D34">
        <v>7.2289156626505993E-2</v>
      </c>
    </row>
    <row r="35" spans="1:4" x14ac:dyDescent="0.2">
      <c r="A35" t="s">
        <v>37</v>
      </c>
      <c r="B35" t="s">
        <v>511</v>
      </c>
      <c r="C35">
        <v>10</v>
      </c>
      <c r="D35">
        <v>8.4507042253521097E-2</v>
      </c>
    </row>
    <row r="36" spans="1:4" x14ac:dyDescent="0.2">
      <c r="A36" t="s">
        <v>37</v>
      </c>
      <c r="B36" t="s">
        <v>511</v>
      </c>
      <c r="C36">
        <v>15</v>
      </c>
      <c r="D36">
        <v>0.11111111111111099</v>
      </c>
    </row>
    <row r="37" spans="1:4" x14ac:dyDescent="0.2">
      <c r="A37" t="s">
        <v>37</v>
      </c>
      <c r="B37" t="s">
        <v>511</v>
      </c>
      <c r="C37">
        <v>20</v>
      </c>
      <c r="D37">
        <v>0.22222222222222199</v>
      </c>
    </row>
    <row r="38" spans="1:4" x14ac:dyDescent="0.2">
      <c r="A38" t="s">
        <v>37</v>
      </c>
      <c r="B38" t="s">
        <v>511</v>
      </c>
      <c r="C38">
        <v>25</v>
      </c>
      <c r="D38">
        <v>0.66666666666666696</v>
      </c>
    </row>
    <row r="39" spans="1:4" x14ac:dyDescent="0.2">
      <c r="A39" t="s">
        <v>37</v>
      </c>
      <c r="B39" t="s">
        <v>512</v>
      </c>
      <c r="C39">
        <v>5</v>
      </c>
      <c r="D39">
        <v>4.5454545454545497E-2</v>
      </c>
    </row>
    <row r="40" spans="1:4" x14ac:dyDescent="0.2">
      <c r="A40" t="s">
        <v>37</v>
      </c>
      <c r="B40" t="s">
        <v>512</v>
      </c>
      <c r="C40">
        <v>10</v>
      </c>
      <c r="D40">
        <v>8.4507042253521097E-2</v>
      </c>
    </row>
    <row r="41" spans="1:4" x14ac:dyDescent="0.2">
      <c r="A41" t="s">
        <v>37</v>
      </c>
      <c r="B41" t="s">
        <v>512</v>
      </c>
      <c r="C41">
        <v>15</v>
      </c>
      <c r="D41">
        <v>0.27272727272727298</v>
      </c>
    </row>
    <row r="42" spans="1:4" x14ac:dyDescent="0.2">
      <c r="A42" t="s">
        <v>37</v>
      </c>
      <c r="B42" t="s">
        <v>512</v>
      </c>
      <c r="C42">
        <v>20</v>
      </c>
      <c r="D42">
        <v>0.66666666666666696</v>
      </c>
    </row>
    <row r="43" spans="1:4" x14ac:dyDescent="0.2">
      <c r="A43" t="s">
        <v>37</v>
      </c>
      <c r="B43" t="s">
        <v>512</v>
      </c>
      <c r="C43">
        <v>25</v>
      </c>
      <c r="D43">
        <v>0.66666666666666696</v>
      </c>
    </row>
    <row r="44" spans="1:4" x14ac:dyDescent="0.2">
      <c r="A44" t="s">
        <v>37</v>
      </c>
      <c r="B44" t="s">
        <v>513</v>
      </c>
      <c r="C44">
        <v>5</v>
      </c>
      <c r="D44">
        <v>0</v>
      </c>
    </row>
    <row r="45" spans="1:4" x14ac:dyDescent="0.2">
      <c r="A45" t="s">
        <v>37</v>
      </c>
      <c r="B45" t="s">
        <v>513</v>
      </c>
      <c r="C45">
        <v>10</v>
      </c>
      <c r="D45">
        <v>0.44444444444444497</v>
      </c>
    </row>
    <row r="46" spans="1:4" x14ac:dyDescent="0.2">
      <c r="A46" t="s">
        <v>37</v>
      </c>
      <c r="B46" t="s">
        <v>513</v>
      </c>
      <c r="C46">
        <v>15</v>
      </c>
      <c r="D46">
        <v>0.44444444444444497</v>
      </c>
    </row>
    <row r="47" spans="1:4" x14ac:dyDescent="0.2">
      <c r="A47" t="s">
        <v>37</v>
      </c>
      <c r="B47" t="s">
        <v>513</v>
      </c>
      <c r="C47">
        <v>20</v>
      </c>
      <c r="D47">
        <v>0.6</v>
      </c>
    </row>
    <row r="48" spans="1:4" x14ac:dyDescent="0.2">
      <c r="A48" t="s">
        <v>37</v>
      </c>
      <c r="B48" t="s">
        <v>513</v>
      </c>
      <c r="C48">
        <v>25</v>
      </c>
      <c r="D48">
        <v>0.66666700000000001</v>
      </c>
    </row>
    <row r="49" spans="1:4" x14ac:dyDescent="0.2">
      <c r="A49" t="s">
        <v>37</v>
      </c>
      <c r="B49" t="s">
        <v>180</v>
      </c>
      <c r="C49">
        <v>5</v>
      </c>
      <c r="D49">
        <v>0.66666666666666696</v>
      </c>
    </row>
    <row r="50" spans="1:4" x14ac:dyDescent="0.2">
      <c r="A50" t="s">
        <v>37</v>
      </c>
      <c r="B50" t="s">
        <v>180</v>
      </c>
      <c r="C50">
        <v>10</v>
      </c>
      <c r="D50">
        <v>0.66666666666666696</v>
      </c>
    </row>
    <row r="51" spans="1:4" x14ac:dyDescent="0.2">
      <c r="A51" t="s">
        <v>37</v>
      </c>
      <c r="B51" t="s">
        <v>180</v>
      </c>
      <c r="C51">
        <v>15</v>
      </c>
      <c r="D51">
        <v>0.66666666666666696</v>
      </c>
    </row>
    <row r="52" spans="1:4" x14ac:dyDescent="0.2">
      <c r="A52" t="s">
        <v>37</v>
      </c>
      <c r="B52" t="s">
        <v>180</v>
      </c>
      <c r="C52">
        <v>20</v>
      </c>
      <c r="D52">
        <v>0.66666666666666696</v>
      </c>
    </row>
    <row r="53" spans="1:4" x14ac:dyDescent="0.2">
      <c r="A53" t="s">
        <v>37</v>
      </c>
      <c r="B53" t="s">
        <v>180</v>
      </c>
      <c r="C53">
        <v>25</v>
      </c>
      <c r="D53">
        <v>0.66666666666666696</v>
      </c>
    </row>
    <row r="54" spans="1:4" x14ac:dyDescent="0.2">
      <c r="A54" t="s">
        <v>37</v>
      </c>
      <c r="B54" t="s">
        <v>510</v>
      </c>
      <c r="C54">
        <v>100</v>
      </c>
      <c r="D54">
        <v>0.5</v>
      </c>
    </row>
    <row r="57" spans="1:4" ht="16" customHeight="1" x14ac:dyDescent="0.2">
      <c r="A57" s="1" t="s">
        <v>515</v>
      </c>
      <c r="B57" s="1" t="s">
        <v>516</v>
      </c>
      <c r="C57" s="1" t="s">
        <v>517</v>
      </c>
      <c r="D57" s="1" t="s">
        <v>518</v>
      </c>
    </row>
    <row r="58" spans="1:4" x14ac:dyDescent="0.2">
      <c r="A58" t="s">
        <v>33</v>
      </c>
      <c r="B58" t="s">
        <v>519</v>
      </c>
      <c r="C58" t="s">
        <v>180</v>
      </c>
      <c r="D58" s="2">
        <v>1</v>
      </c>
    </row>
    <row r="59" spans="1:4" x14ac:dyDescent="0.2">
      <c r="A59" t="s">
        <v>33</v>
      </c>
      <c r="B59" t="s">
        <v>520</v>
      </c>
      <c r="C59" t="s">
        <v>511</v>
      </c>
      <c r="D59" s="2">
        <v>1</v>
      </c>
    </row>
    <row r="60" spans="1:4" x14ac:dyDescent="0.2">
      <c r="A60" t="s">
        <v>33</v>
      </c>
      <c r="B60" t="s">
        <v>521</v>
      </c>
      <c r="C60" t="s">
        <v>512</v>
      </c>
      <c r="D60" s="2">
        <v>1</v>
      </c>
    </row>
    <row r="61" spans="1:4" x14ac:dyDescent="0.2">
      <c r="A61" t="s">
        <v>33</v>
      </c>
      <c r="B61" t="s">
        <v>522</v>
      </c>
      <c r="C61" t="s">
        <v>513</v>
      </c>
      <c r="D61" s="2">
        <v>1</v>
      </c>
    </row>
    <row r="62" spans="1:4" x14ac:dyDescent="0.2">
      <c r="A62" t="s">
        <v>37</v>
      </c>
      <c r="B62" t="s">
        <v>519</v>
      </c>
      <c r="C62" t="s">
        <v>180</v>
      </c>
      <c r="D62" s="2">
        <v>0.66666666666666696</v>
      </c>
    </row>
    <row r="63" spans="1:4" x14ac:dyDescent="0.2">
      <c r="A63" t="s">
        <v>37</v>
      </c>
      <c r="B63" t="s">
        <v>520</v>
      </c>
      <c r="C63" t="s">
        <v>511</v>
      </c>
      <c r="D63" s="2">
        <v>0.66666666666666696</v>
      </c>
    </row>
    <row r="64" spans="1:4" x14ac:dyDescent="0.2">
      <c r="A64" t="s">
        <v>37</v>
      </c>
      <c r="B64" t="s">
        <v>521</v>
      </c>
      <c r="C64" t="s">
        <v>512</v>
      </c>
      <c r="D64" s="2">
        <v>0.66666666666666696</v>
      </c>
    </row>
    <row r="65" spans="1:4" x14ac:dyDescent="0.2">
      <c r="A65" t="s">
        <v>37</v>
      </c>
      <c r="B65" t="s">
        <v>522</v>
      </c>
      <c r="C65" t="s">
        <v>513</v>
      </c>
      <c r="D65" s="2">
        <v>0.66666666666666696</v>
      </c>
    </row>
    <row r="66" spans="1:4" x14ac:dyDescent="0.2">
      <c r="A66" t="s">
        <v>36</v>
      </c>
      <c r="B66" t="s">
        <v>519</v>
      </c>
      <c r="C66" t="s">
        <v>180</v>
      </c>
      <c r="D66" s="2">
        <v>0.88095238095238104</v>
      </c>
    </row>
    <row r="67" spans="1:4" x14ac:dyDescent="0.2">
      <c r="A67" t="s">
        <v>36</v>
      </c>
      <c r="B67" t="s">
        <v>523</v>
      </c>
      <c r="C67" t="s">
        <v>514</v>
      </c>
      <c r="D67" s="2">
        <v>0.88622754491017963</v>
      </c>
    </row>
    <row r="68" spans="1:4" x14ac:dyDescent="0.2">
      <c r="A68" t="s">
        <v>42</v>
      </c>
      <c r="B68" t="s">
        <v>519</v>
      </c>
      <c r="C68" t="s">
        <v>180</v>
      </c>
      <c r="D68" s="2">
        <v>0.31468531468531502</v>
      </c>
    </row>
    <row r="69" spans="1:4" x14ac:dyDescent="0.2">
      <c r="A69" t="s">
        <v>42</v>
      </c>
      <c r="B69" t="s">
        <v>520</v>
      </c>
      <c r="C69" t="s">
        <v>511</v>
      </c>
      <c r="D69" s="2">
        <v>0.26956521739130401</v>
      </c>
    </row>
    <row r="70" spans="1:4" x14ac:dyDescent="0.2">
      <c r="A70" t="s">
        <v>42</v>
      </c>
      <c r="B70" t="s">
        <v>521</v>
      </c>
      <c r="C70" t="s">
        <v>512</v>
      </c>
      <c r="D70" s="2">
        <v>0.30588235294117699</v>
      </c>
    </row>
    <row r="71" spans="1:4" x14ac:dyDescent="0.2">
      <c r="A71" t="s">
        <v>42</v>
      </c>
      <c r="B71" t="s">
        <v>522</v>
      </c>
      <c r="C71" t="s">
        <v>513</v>
      </c>
      <c r="D71" s="2">
        <v>0.30075187969924799</v>
      </c>
    </row>
    <row r="72" spans="1:4" x14ac:dyDescent="0.2">
      <c r="A72" t="s">
        <v>43</v>
      </c>
      <c r="B72" t="s">
        <v>519</v>
      </c>
      <c r="C72" t="s">
        <v>180</v>
      </c>
      <c r="D72" s="2">
        <v>0.77551020408163296</v>
      </c>
    </row>
    <row r="73" spans="1:4" x14ac:dyDescent="0.2">
      <c r="A73" t="s">
        <v>43</v>
      </c>
      <c r="B73" t="s">
        <v>520</v>
      </c>
      <c r="C73" t="s">
        <v>511</v>
      </c>
      <c r="D73" s="2">
        <v>0.65306122448979598</v>
      </c>
    </row>
    <row r="74" spans="1:4" x14ac:dyDescent="0.2">
      <c r="A74" t="s">
        <v>43</v>
      </c>
      <c r="B74" t="s">
        <v>521</v>
      </c>
      <c r="C74" t="s">
        <v>512</v>
      </c>
      <c r="D74" s="2">
        <v>0.67346938775510201</v>
      </c>
    </row>
    <row r="75" spans="1:4" x14ac:dyDescent="0.2">
      <c r="A75" t="s">
        <v>43</v>
      </c>
      <c r="B75" t="s">
        <v>522</v>
      </c>
      <c r="C75" t="s">
        <v>513</v>
      </c>
      <c r="D75" s="2">
        <v>0.77139999999999997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2"/>
  <sheetViews>
    <sheetView zoomScale="136" workbookViewId="0">
      <selection activeCell="F2" sqref="F2:G5"/>
    </sheetView>
  </sheetViews>
  <sheetFormatPr baseColWidth="10" defaultColWidth="8.83203125" defaultRowHeight="15" x14ac:dyDescent="0.2"/>
  <cols>
    <col min="1" max="1" width="22.1640625" customWidth="1"/>
    <col min="2" max="2" width="14.83203125" customWidth="1"/>
    <col min="3" max="3" width="17.33203125" customWidth="1"/>
    <col min="4" max="4" width="20.5" customWidth="1"/>
  </cols>
  <sheetData>
    <row r="1" spans="1:9" x14ac:dyDescent="0.2">
      <c r="A1" t="s">
        <v>524</v>
      </c>
      <c r="B1" t="s">
        <v>0</v>
      </c>
      <c r="C1" t="s">
        <v>525</v>
      </c>
      <c r="D1" t="s">
        <v>526</v>
      </c>
      <c r="E1" t="s">
        <v>527</v>
      </c>
      <c r="F1" t="s">
        <v>528</v>
      </c>
      <c r="G1" t="s">
        <v>529</v>
      </c>
      <c r="H1" t="s">
        <v>530</v>
      </c>
      <c r="I1" t="s">
        <v>531</v>
      </c>
    </row>
    <row r="2" spans="1:9" x14ac:dyDescent="0.2">
      <c r="A2" t="s">
        <v>532</v>
      </c>
      <c r="B2" t="s">
        <v>36</v>
      </c>
      <c r="C2">
        <v>0.75583900000000004</v>
      </c>
      <c r="D2">
        <v>0.83950599999999997</v>
      </c>
      <c r="E2">
        <v>-8.3667000000000005E-2</v>
      </c>
      <c r="F2">
        <v>13.56</v>
      </c>
      <c r="G2">
        <v>48.78</v>
      </c>
      <c r="H2">
        <v>3.5973000000000002</v>
      </c>
      <c r="I2" t="s">
        <v>533</v>
      </c>
    </row>
    <row r="3" spans="1:9" x14ac:dyDescent="0.2">
      <c r="A3" t="s">
        <v>532</v>
      </c>
      <c r="B3" t="s">
        <v>37</v>
      </c>
      <c r="C3">
        <v>0.66666700000000001</v>
      </c>
      <c r="D3">
        <v>0.70833000000000002</v>
      </c>
      <c r="E3">
        <v>4.1667000000000003E-2</v>
      </c>
      <c r="F3">
        <v>14.335000000000001</v>
      </c>
      <c r="G3">
        <v>224.28</v>
      </c>
      <c r="H3">
        <v>15.6456</v>
      </c>
      <c r="I3" t="s">
        <v>533</v>
      </c>
    </row>
    <row r="4" spans="1:9" x14ac:dyDescent="0.2">
      <c r="A4" t="s">
        <v>532</v>
      </c>
      <c r="B4" t="s">
        <v>38</v>
      </c>
      <c r="C4">
        <v>0.20338999999999999</v>
      </c>
      <c r="D4">
        <v>0.106</v>
      </c>
      <c r="E4">
        <v>-9.7063999999999998E-2</v>
      </c>
      <c r="F4">
        <v>17.28</v>
      </c>
      <c r="G4">
        <v>116.29</v>
      </c>
      <c r="H4">
        <v>1.5047999999999999</v>
      </c>
      <c r="I4" t="s">
        <v>533</v>
      </c>
    </row>
    <row r="5" spans="1:9" x14ac:dyDescent="0.2">
      <c r="A5" t="s">
        <v>532</v>
      </c>
      <c r="B5" t="s">
        <v>39</v>
      </c>
      <c r="C5">
        <v>0.78571400000000002</v>
      </c>
      <c r="D5">
        <v>0.71758900000000003</v>
      </c>
      <c r="E5">
        <v>-6.9925000000000001E-2</v>
      </c>
      <c r="F5">
        <v>13.88</v>
      </c>
      <c r="G5">
        <v>80.11</v>
      </c>
      <c r="H5">
        <v>5.7716000000000003</v>
      </c>
      <c r="I5" t="s">
        <v>533</v>
      </c>
    </row>
    <row r="6" spans="1:9" x14ac:dyDescent="0.2">
      <c r="A6" t="s">
        <v>532</v>
      </c>
      <c r="B6" t="s">
        <v>45</v>
      </c>
      <c r="C6">
        <v>1</v>
      </c>
      <c r="D6">
        <v>0.88888999999999996</v>
      </c>
      <c r="E6">
        <v>-0.111111</v>
      </c>
      <c r="F6">
        <v>2.569</v>
      </c>
      <c r="G6">
        <v>4.47</v>
      </c>
      <c r="H6">
        <v>1.7401</v>
      </c>
      <c r="I6" t="s">
        <v>533</v>
      </c>
    </row>
    <row r="7" spans="1:9" x14ac:dyDescent="0.2">
      <c r="A7" t="s">
        <v>532</v>
      </c>
      <c r="B7" t="s">
        <v>46</v>
      </c>
      <c r="C7">
        <v>0.93333299999999997</v>
      </c>
      <c r="D7">
        <v>0.84199999999999997</v>
      </c>
      <c r="E7">
        <v>-9.1330999999999996E-2</v>
      </c>
      <c r="F7">
        <v>5.9489999999999998</v>
      </c>
      <c r="G7">
        <v>15.47</v>
      </c>
      <c r="H7">
        <v>2.6004999999999998</v>
      </c>
      <c r="I7" t="s">
        <v>533</v>
      </c>
    </row>
    <row r="8" spans="1:9" x14ac:dyDescent="0.2">
      <c r="A8" t="s">
        <v>532</v>
      </c>
      <c r="B8" t="s">
        <v>47</v>
      </c>
      <c r="C8">
        <v>1</v>
      </c>
      <c r="D8">
        <v>1</v>
      </c>
      <c r="E8">
        <v>0</v>
      </c>
      <c r="F8">
        <v>2.9430000000000001</v>
      </c>
      <c r="G8">
        <v>4.1100000000000003</v>
      </c>
      <c r="H8">
        <v>1.3964000000000001</v>
      </c>
      <c r="I8" t="s">
        <v>533</v>
      </c>
    </row>
    <row r="9" spans="1:9" x14ac:dyDescent="0.2">
      <c r="A9" t="s">
        <v>532</v>
      </c>
      <c r="B9" t="s">
        <v>48</v>
      </c>
      <c r="C9">
        <v>0.62948999999999999</v>
      </c>
      <c r="D9">
        <v>0.72727299999999995</v>
      </c>
      <c r="E9">
        <v>-9.7781999999999994E-2</v>
      </c>
      <c r="F9">
        <v>9.4890000000000008</v>
      </c>
      <c r="G9">
        <v>20.62</v>
      </c>
      <c r="H9">
        <v>2.1730999999999998</v>
      </c>
      <c r="I9" t="s">
        <v>533</v>
      </c>
    </row>
    <row r="10" spans="1:9" x14ac:dyDescent="0.2">
      <c r="F10">
        <f>SUM(F2:F9)</f>
        <v>80.00500000000001</v>
      </c>
      <c r="G10">
        <f>SUM(G2:G9)</f>
        <v>514.13000000000011</v>
      </c>
    </row>
    <row r="11" spans="1:9" x14ac:dyDescent="0.2">
      <c r="A11" t="s">
        <v>534</v>
      </c>
      <c r="B11" t="s">
        <v>36</v>
      </c>
      <c r="C11">
        <v>0.86929000000000001</v>
      </c>
      <c r="D11">
        <v>0.70754700000000004</v>
      </c>
      <c r="E11">
        <v>0.161743</v>
      </c>
      <c r="F11">
        <v>3.6</v>
      </c>
      <c r="G11">
        <v>37.81</v>
      </c>
      <c r="H11">
        <v>10.502800000000001</v>
      </c>
      <c r="I11" t="s">
        <v>533</v>
      </c>
    </row>
    <row r="12" spans="1:9" x14ac:dyDescent="0.2">
      <c r="A12" t="s">
        <v>534</v>
      </c>
      <c r="B12" t="s">
        <v>37</v>
      </c>
      <c r="C12">
        <v>0.28571400000000002</v>
      </c>
      <c r="D12">
        <v>5.8251999999999998E-2</v>
      </c>
      <c r="E12">
        <v>0.227462</v>
      </c>
      <c r="F12">
        <v>8.2899999999999991</v>
      </c>
      <c r="G12">
        <v>275.37</v>
      </c>
      <c r="H12">
        <v>33.217100000000002</v>
      </c>
      <c r="I12" t="s">
        <v>533</v>
      </c>
    </row>
    <row r="13" spans="1:9" x14ac:dyDescent="0.2">
      <c r="A13" t="s">
        <v>534</v>
      </c>
      <c r="B13" t="s">
        <v>38</v>
      </c>
      <c r="C13">
        <v>0.70266499999999998</v>
      </c>
      <c r="D13">
        <v>0.25806499999999999</v>
      </c>
      <c r="E13">
        <v>0.4446</v>
      </c>
      <c r="F13">
        <v>12.32</v>
      </c>
      <c r="G13">
        <v>75.48</v>
      </c>
      <c r="H13">
        <v>6.1265999999999998</v>
      </c>
      <c r="I13" t="s">
        <v>533</v>
      </c>
    </row>
    <row r="14" spans="1:9" x14ac:dyDescent="0.2">
      <c r="A14" t="s">
        <v>534</v>
      </c>
      <c r="B14" t="s">
        <v>39</v>
      </c>
      <c r="C14">
        <v>0.62560400000000005</v>
      </c>
      <c r="D14">
        <v>0.73333300000000001</v>
      </c>
      <c r="E14">
        <v>-0.10772900000000001</v>
      </c>
      <c r="F14">
        <v>3.0150000000000001</v>
      </c>
      <c r="G14">
        <v>65.790000000000006</v>
      </c>
      <c r="H14">
        <v>21.820900000000002</v>
      </c>
      <c r="I14" t="s">
        <v>533</v>
      </c>
    </row>
    <row r="15" spans="1:9" x14ac:dyDescent="0.2">
      <c r="A15" t="s">
        <v>534</v>
      </c>
      <c r="B15" t="s">
        <v>45</v>
      </c>
      <c r="C15">
        <v>0.66666700000000001</v>
      </c>
      <c r="D15">
        <v>0.8</v>
      </c>
      <c r="E15">
        <v>-0.13333300000000001</v>
      </c>
      <c r="F15">
        <v>1.125</v>
      </c>
      <c r="G15">
        <v>2.74</v>
      </c>
      <c r="H15">
        <v>2.4356</v>
      </c>
      <c r="I15" t="s">
        <v>533</v>
      </c>
    </row>
    <row r="16" spans="1:9" x14ac:dyDescent="0.2">
      <c r="A16" t="s">
        <v>534</v>
      </c>
      <c r="B16" t="s">
        <v>46</v>
      </c>
      <c r="C16">
        <v>0.92307700000000004</v>
      </c>
      <c r="D16">
        <v>0.222222</v>
      </c>
      <c r="E16">
        <v>0.70085500000000001</v>
      </c>
      <c r="F16">
        <v>1.5249999999999999</v>
      </c>
      <c r="G16">
        <v>8.7200000000000006</v>
      </c>
      <c r="H16">
        <v>5.718</v>
      </c>
      <c r="I16" t="s">
        <v>533</v>
      </c>
    </row>
    <row r="17" spans="1:9" x14ac:dyDescent="0.2">
      <c r="A17" t="s">
        <v>534</v>
      </c>
      <c r="B17" t="s">
        <v>47</v>
      </c>
      <c r="C17">
        <v>0.93333299999999997</v>
      </c>
      <c r="D17">
        <v>1</v>
      </c>
      <c r="E17">
        <v>-6.6667000000000004E-2</v>
      </c>
      <c r="F17">
        <v>1.0349999999999999</v>
      </c>
      <c r="G17">
        <v>2.36</v>
      </c>
      <c r="H17">
        <v>2.2801999999999998</v>
      </c>
      <c r="I17" t="s">
        <v>533</v>
      </c>
    </row>
    <row r="18" spans="1:9" x14ac:dyDescent="0.2">
      <c r="A18" t="s">
        <v>534</v>
      </c>
      <c r="B18" t="s">
        <v>48</v>
      </c>
      <c r="C18">
        <v>0.7</v>
      </c>
      <c r="D18">
        <v>0.63636400000000004</v>
      </c>
      <c r="E18">
        <v>6.3635999999999998E-2</v>
      </c>
      <c r="F18">
        <v>2.1850000000000001</v>
      </c>
      <c r="G18">
        <v>10.55</v>
      </c>
      <c r="H18">
        <v>4.8284000000000002</v>
      </c>
      <c r="I18" t="s">
        <v>533</v>
      </c>
    </row>
    <row r="19" spans="1:9" x14ac:dyDescent="0.2">
      <c r="F19">
        <f>SUM(F11:F18)</f>
        <v>33.094999999999999</v>
      </c>
      <c r="G19">
        <f>SUM(G11:G18)</f>
        <v>478.82000000000011</v>
      </c>
    </row>
    <row r="20" spans="1:9" x14ac:dyDescent="0.2">
      <c r="A20" t="s">
        <v>535</v>
      </c>
      <c r="B20" t="s">
        <v>36</v>
      </c>
      <c r="C20">
        <v>0.88</v>
      </c>
      <c r="D20">
        <v>0.77100000000000002</v>
      </c>
      <c r="E20">
        <v>0.109</v>
      </c>
      <c r="F20">
        <v>281</v>
      </c>
      <c r="G20">
        <v>5439.94</v>
      </c>
      <c r="H20">
        <v>19.359200000000001</v>
      </c>
      <c r="I20" t="s">
        <v>536</v>
      </c>
    </row>
    <row r="21" spans="1:9" x14ac:dyDescent="0.2">
      <c r="A21" t="s">
        <v>535</v>
      </c>
      <c r="B21" t="s">
        <v>37</v>
      </c>
      <c r="C21">
        <v>0.66669999999999996</v>
      </c>
      <c r="D21">
        <v>0.5</v>
      </c>
      <c r="E21">
        <v>0.16669999999999999</v>
      </c>
      <c r="F21">
        <v>492.9</v>
      </c>
      <c r="G21">
        <v>41600</v>
      </c>
      <c r="H21">
        <v>84.398499999999999</v>
      </c>
      <c r="I21" t="s">
        <v>536</v>
      </c>
    </row>
    <row r="22" spans="1:9" x14ac:dyDescent="0.2">
      <c r="A22" t="s">
        <v>535</v>
      </c>
      <c r="B22" t="s">
        <v>38</v>
      </c>
      <c r="C22">
        <v>0.5</v>
      </c>
      <c r="D22">
        <v>0.41899999999999998</v>
      </c>
      <c r="E22">
        <v>8.1000000000000003E-2</v>
      </c>
      <c r="F22">
        <v>347.9</v>
      </c>
      <c r="G22">
        <v>6399</v>
      </c>
      <c r="H22">
        <v>18.3932</v>
      </c>
      <c r="I22" t="s">
        <v>536</v>
      </c>
    </row>
    <row r="23" spans="1:9" x14ac:dyDescent="0.2">
      <c r="A23" t="s">
        <v>535</v>
      </c>
      <c r="B23" t="s">
        <v>39</v>
      </c>
      <c r="C23">
        <v>0.65</v>
      </c>
      <c r="D23">
        <v>0.54500000000000004</v>
      </c>
      <c r="E23">
        <v>0.105</v>
      </c>
      <c r="F23">
        <v>200.64</v>
      </c>
      <c r="G23">
        <v>1417.92</v>
      </c>
      <c r="H23">
        <v>7.0670000000000002</v>
      </c>
      <c r="I23" t="s">
        <v>536</v>
      </c>
    </row>
    <row r="24" spans="1:9" x14ac:dyDescent="0.2">
      <c r="A24" t="s">
        <v>535</v>
      </c>
      <c r="B24" t="s">
        <v>45</v>
      </c>
      <c r="C24">
        <v>1</v>
      </c>
      <c r="D24">
        <v>0.8</v>
      </c>
      <c r="E24">
        <v>0.2</v>
      </c>
      <c r="F24">
        <v>0.46</v>
      </c>
      <c r="G24">
        <v>1.91</v>
      </c>
      <c r="H24">
        <v>4.1521999999999997</v>
      </c>
      <c r="I24" t="s">
        <v>536</v>
      </c>
    </row>
    <row r="25" spans="1:9" x14ac:dyDescent="0.2">
      <c r="A25" t="s">
        <v>535</v>
      </c>
      <c r="B25" t="s">
        <v>46</v>
      </c>
      <c r="C25">
        <v>0.66669999999999996</v>
      </c>
      <c r="D25">
        <v>0.1138</v>
      </c>
      <c r="E25">
        <v>0.55289999999999995</v>
      </c>
      <c r="F25">
        <v>0.97</v>
      </c>
      <c r="G25">
        <v>4.4000000000000004</v>
      </c>
      <c r="H25">
        <v>4.5361000000000002</v>
      </c>
      <c r="I25" t="s">
        <v>536</v>
      </c>
    </row>
    <row r="26" spans="1:9" x14ac:dyDescent="0.2">
      <c r="A26" t="s">
        <v>535</v>
      </c>
      <c r="B26" t="s">
        <v>47</v>
      </c>
      <c r="C26">
        <v>1</v>
      </c>
      <c r="D26">
        <v>1</v>
      </c>
      <c r="E26">
        <v>0</v>
      </c>
      <c r="F26">
        <v>0.49</v>
      </c>
      <c r="G26">
        <v>1.48</v>
      </c>
      <c r="H26">
        <v>3.0204</v>
      </c>
      <c r="I26" t="s">
        <v>536</v>
      </c>
    </row>
    <row r="27" spans="1:9" x14ac:dyDescent="0.2">
      <c r="A27" t="s">
        <v>535</v>
      </c>
      <c r="B27" t="s">
        <v>48</v>
      </c>
      <c r="C27">
        <v>0.67249999999999999</v>
      </c>
      <c r="D27">
        <v>0.66669999999999996</v>
      </c>
      <c r="E27">
        <v>5.7999999999999996E-3</v>
      </c>
      <c r="F27">
        <v>1.03</v>
      </c>
      <c r="G27">
        <v>6.1</v>
      </c>
      <c r="H27">
        <v>5.9222999999999999</v>
      </c>
      <c r="I27" t="s">
        <v>536</v>
      </c>
    </row>
    <row r="28" spans="1:9" x14ac:dyDescent="0.2">
      <c r="F28">
        <f>SUM(F20:F27)</f>
        <v>1325.39</v>
      </c>
      <c r="G28">
        <f>SUM(G20:G27)</f>
        <v>54870.750000000007</v>
      </c>
    </row>
    <row r="29" spans="1:9" x14ac:dyDescent="0.2">
      <c r="A29" t="s">
        <v>537</v>
      </c>
      <c r="B29" t="s">
        <v>36</v>
      </c>
      <c r="C29">
        <v>0.112576</v>
      </c>
      <c r="D29">
        <v>0.28011999999999998</v>
      </c>
      <c r="E29">
        <v>-0.167544</v>
      </c>
      <c r="F29">
        <v>16.29</v>
      </c>
      <c r="G29">
        <v>46.1</v>
      </c>
      <c r="H29">
        <v>2.83</v>
      </c>
      <c r="I29" t="s">
        <v>533</v>
      </c>
    </row>
    <row r="30" spans="1:9" x14ac:dyDescent="0.2">
      <c r="A30" t="s">
        <v>537</v>
      </c>
      <c r="B30" t="s">
        <v>37</v>
      </c>
      <c r="C30">
        <v>0.54545500000000002</v>
      </c>
      <c r="D30">
        <v>1.8912999999999999E-2</v>
      </c>
      <c r="E30">
        <v>0.52654199999999995</v>
      </c>
      <c r="F30">
        <v>45.12</v>
      </c>
      <c r="G30">
        <v>601.08000000000004</v>
      </c>
      <c r="H30">
        <v>13.3218</v>
      </c>
      <c r="I30" t="s">
        <v>533</v>
      </c>
    </row>
    <row r="31" spans="1:9" x14ac:dyDescent="0.2">
      <c r="A31" t="s">
        <v>537</v>
      </c>
      <c r="B31" t="s">
        <v>38</v>
      </c>
      <c r="C31">
        <v>0.5</v>
      </c>
      <c r="D31">
        <v>0.18897600000000001</v>
      </c>
      <c r="E31">
        <v>0.31102400000000002</v>
      </c>
      <c r="F31">
        <v>8.66</v>
      </c>
      <c r="G31">
        <v>143.19999999999999</v>
      </c>
      <c r="H31">
        <v>16.535799999999998</v>
      </c>
      <c r="I31" t="s">
        <v>533</v>
      </c>
    </row>
    <row r="32" spans="1:9" x14ac:dyDescent="0.2">
      <c r="A32" t="s">
        <v>537</v>
      </c>
      <c r="B32" t="s">
        <v>39</v>
      </c>
      <c r="C32">
        <v>0.72</v>
      </c>
      <c r="D32">
        <v>0.709677</v>
      </c>
      <c r="E32">
        <v>1.0323000000000001E-2</v>
      </c>
      <c r="F32">
        <v>11.14</v>
      </c>
      <c r="G32">
        <v>163.41999999999999</v>
      </c>
      <c r="H32">
        <v>14.669700000000001</v>
      </c>
      <c r="I32" t="s">
        <v>533</v>
      </c>
    </row>
  </sheetData>
  <pageMargins left="0.75" right="0.75" top="1" bottom="1" header="0.5" footer="0.5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"/>
  <sheetViews>
    <sheetView zoomScale="208" workbookViewId="0">
      <selection activeCell="H6" sqref="H6"/>
    </sheetView>
  </sheetViews>
  <sheetFormatPr baseColWidth="10" defaultColWidth="8.83203125" defaultRowHeight="15" x14ac:dyDescent="0.2"/>
  <cols>
    <col min="1" max="1" width="16.1640625" customWidth="1"/>
    <col min="4" max="4" width="10.83203125" customWidth="1"/>
    <col min="5" max="5" width="14" customWidth="1"/>
  </cols>
  <sheetData>
    <row r="1" spans="1:8" x14ac:dyDescent="0.2">
      <c r="A1" t="s">
        <v>524</v>
      </c>
      <c r="B1" t="s">
        <v>538</v>
      </c>
      <c r="C1" t="s">
        <v>539</v>
      </c>
      <c r="D1" t="s">
        <v>540</v>
      </c>
      <c r="E1" t="s">
        <v>541</v>
      </c>
      <c r="F1" t="s">
        <v>542</v>
      </c>
      <c r="G1" t="s">
        <v>499</v>
      </c>
      <c r="H1" t="s">
        <v>543</v>
      </c>
    </row>
    <row r="2" spans="1:8" x14ac:dyDescent="0.2">
      <c r="A2" t="s">
        <v>532</v>
      </c>
      <c r="B2">
        <v>8</v>
      </c>
      <c r="C2" t="s">
        <v>544</v>
      </c>
      <c r="D2">
        <v>0.73</v>
      </c>
      <c r="E2">
        <v>0.75</v>
      </c>
      <c r="F2">
        <v>-6.3700000000000007E-2</v>
      </c>
      <c r="G2">
        <v>6.84</v>
      </c>
      <c r="H2">
        <v>15.646000000000001</v>
      </c>
    </row>
    <row r="3" spans="1:8" x14ac:dyDescent="0.2">
      <c r="A3" t="s">
        <v>534</v>
      </c>
      <c r="B3">
        <v>8</v>
      </c>
      <c r="C3" t="s">
        <v>544</v>
      </c>
      <c r="D3">
        <v>0.55200000000000005</v>
      </c>
      <c r="E3">
        <v>0.71330000000000005</v>
      </c>
      <c r="F3">
        <v>0.1613</v>
      </c>
      <c r="G3">
        <v>7.1909999999999998</v>
      </c>
      <c r="H3">
        <v>33.216999999999999</v>
      </c>
    </row>
    <row r="4" spans="1:8" x14ac:dyDescent="0.2">
      <c r="A4" t="s">
        <v>535</v>
      </c>
      <c r="B4">
        <v>8</v>
      </c>
      <c r="C4" t="s">
        <v>544</v>
      </c>
      <c r="D4">
        <v>0.60189999999999999</v>
      </c>
      <c r="E4">
        <v>0.77100000000000002</v>
      </c>
      <c r="F4">
        <v>0.15260000000000001</v>
      </c>
      <c r="G4">
        <v>13.8</v>
      </c>
      <c r="H4">
        <v>84.397999999999996</v>
      </c>
    </row>
    <row r="5" spans="1:8" x14ac:dyDescent="0.2">
      <c r="A5" t="s">
        <v>537</v>
      </c>
      <c r="B5">
        <v>4</v>
      </c>
      <c r="C5" t="s">
        <v>545</v>
      </c>
      <c r="D5">
        <v>0.2994</v>
      </c>
      <c r="E5">
        <v>0.46949999999999997</v>
      </c>
      <c r="F5">
        <v>0.1701</v>
      </c>
      <c r="G5">
        <v>9.7789999999999999</v>
      </c>
      <c r="H5">
        <v>16.536000000000001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D250"/>
  <sheetViews>
    <sheetView topLeftCell="A7" zoomScale="135" workbookViewId="0">
      <selection activeCell="Z80" sqref="Z80"/>
    </sheetView>
  </sheetViews>
  <sheetFormatPr baseColWidth="10" defaultRowHeight="15" x14ac:dyDescent="0.2"/>
  <cols>
    <col min="3" max="3" width="16" customWidth="1"/>
    <col min="4" max="4" width="17.83203125" customWidth="1"/>
    <col min="23" max="23" width="13.6640625" customWidth="1"/>
    <col min="24" max="24" width="21.83203125" customWidth="1"/>
    <col min="25" max="25" width="15.33203125" customWidth="1"/>
    <col min="26" max="26" width="19.33203125" customWidth="1"/>
  </cols>
  <sheetData>
    <row r="1" spans="1:108" x14ac:dyDescent="0.2">
      <c r="A1" t="s">
        <v>546</v>
      </c>
    </row>
    <row r="2" spans="1:108" ht="16" customHeight="1" x14ac:dyDescent="0.2">
      <c r="A2" t="s">
        <v>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86</v>
      </c>
      <c r="R2" t="s">
        <v>87</v>
      </c>
      <c r="S2" t="s">
        <v>88</v>
      </c>
      <c r="T2" t="s">
        <v>89</v>
      </c>
      <c r="U2" t="s">
        <v>90</v>
      </c>
      <c r="V2" t="s">
        <v>91</v>
      </c>
      <c r="W2" t="s">
        <v>92</v>
      </c>
      <c r="X2" t="s">
        <v>93</v>
      </c>
      <c r="Y2" t="s">
        <v>94</v>
      </c>
      <c r="Z2" t="s">
        <v>95</v>
      </c>
      <c r="AA2" t="s">
        <v>96</v>
      </c>
      <c r="AB2" t="s">
        <v>97</v>
      </c>
      <c r="AC2" t="s">
        <v>98</v>
      </c>
      <c r="AD2" t="s">
        <v>99</v>
      </c>
      <c r="AE2" t="s">
        <v>100</v>
      </c>
      <c r="AF2" t="s">
        <v>101</v>
      </c>
      <c r="AG2" t="s">
        <v>102</v>
      </c>
      <c r="AH2" t="s">
        <v>103</v>
      </c>
      <c r="AI2" t="s">
        <v>104</v>
      </c>
      <c r="AJ2" t="s">
        <v>105</v>
      </c>
      <c r="AK2" t="s">
        <v>106</v>
      </c>
      <c r="AL2" t="s">
        <v>107</v>
      </c>
      <c r="AM2" t="s">
        <v>108</v>
      </c>
      <c r="AN2" t="s">
        <v>109</v>
      </c>
      <c r="AO2" t="s">
        <v>110</v>
      </c>
      <c r="AP2" t="s">
        <v>111</v>
      </c>
      <c r="AQ2" t="s">
        <v>112</v>
      </c>
      <c r="AR2" t="s">
        <v>113</v>
      </c>
      <c r="AS2" t="s">
        <v>114</v>
      </c>
      <c r="AT2" t="s">
        <v>115</v>
      </c>
      <c r="AU2" t="s">
        <v>116</v>
      </c>
      <c r="AV2" t="s">
        <v>117</v>
      </c>
      <c r="AW2" t="s">
        <v>118</v>
      </c>
      <c r="AX2" t="s">
        <v>119</v>
      </c>
      <c r="AY2" t="s">
        <v>120</v>
      </c>
      <c r="AZ2" t="s">
        <v>121</v>
      </c>
      <c r="BA2" t="s">
        <v>122</v>
      </c>
      <c r="BB2" t="s">
        <v>123</v>
      </c>
      <c r="BC2" t="s">
        <v>124</v>
      </c>
      <c r="BD2" t="s">
        <v>125</v>
      </c>
      <c r="BE2" t="s">
        <v>126</v>
      </c>
      <c r="BF2" t="s">
        <v>127</v>
      </c>
      <c r="BG2" t="s">
        <v>128</v>
      </c>
      <c r="BH2" t="s">
        <v>129</v>
      </c>
      <c r="BI2" t="s">
        <v>130</v>
      </c>
      <c r="BJ2" t="s">
        <v>131</v>
      </c>
      <c r="BK2" t="s">
        <v>132</v>
      </c>
      <c r="BL2" t="s">
        <v>133</v>
      </c>
      <c r="BM2" t="s">
        <v>134</v>
      </c>
      <c r="BN2" t="s">
        <v>135</v>
      </c>
      <c r="BO2" t="s">
        <v>136</v>
      </c>
      <c r="BP2" t="s">
        <v>137</v>
      </c>
      <c r="BQ2" t="s">
        <v>138</v>
      </c>
      <c r="BR2" t="s">
        <v>139</v>
      </c>
      <c r="BS2" t="s">
        <v>140</v>
      </c>
      <c r="BT2" t="s">
        <v>141</v>
      </c>
      <c r="BU2" t="s">
        <v>142</v>
      </c>
      <c r="BV2" t="s">
        <v>143</v>
      </c>
      <c r="BW2" t="s">
        <v>144</v>
      </c>
      <c r="BX2" t="s">
        <v>145</v>
      </c>
      <c r="BY2" t="s">
        <v>146</v>
      </c>
      <c r="BZ2" t="s">
        <v>147</v>
      </c>
      <c r="CA2" t="s">
        <v>148</v>
      </c>
      <c r="CB2" t="s">
        <v>149</v>
      </c>
      <c r="CC2" t="s">
        <v>150</v>
      </c>
      <c r="CD2" t="s">
        <v>151</v>
      </c>
      <c r="CE2" t="s">
        <v>152</v>
      </c>
      <c r="CF2" t="s">
        <v>153</v>
      </c>
      <c r="CG2" t="s">
        <v>154</v>
      </c>
      <c r="CH2" t="s">
        <v>155</v>
      </c>
      <c r="CI2" t="s">
        <v>156</v>
      </c>
      <c r="CJ2" t="s">
        <v>157</v>
      </c>
      <c r="CK2" t="s">
        <v>158</v>
      </c>
      <c r="CL2" t="s">
        <v>159</v>
      </c>
      <c r="CM2" t="s">
        <v>160</v>
      </c>
      <c r="CN2" t="s">
        <v>161</v>
      </c>
      <c r="CO2" t="s">
        <v>162</v>
      </c>
      <c r="CP2" t="s">
        <v>163</v>
      </c>
      <c r="CQ2" t="s">
        <v>164</v>
      </c>
      <c r="CR2" t="s">
        <v>165</v>
      </c>
      <c r="CS2" t="s">
        <v>166</v>
      </c>
      <c r="CT2" t="s">
        <v>167</v>
      </c>
      <c r="CU2" t="s">
        <v>168</v>
      </c>
      <c r="CV2" t="s">
        <v>169</v>
      </c>
      <c r="CW2" t="s">
        <v>170</v>
      </c>
      <c r="CX2" t="s">
        <v>171</v>
      </c>
      <c r="CY2" t="s">
        <v>189</v>
      </c>
      <c r="CZ2" t="s">
        <v>208</v>
      </c>
      <c r="DA2" t="s">
        <v>192</v>
      </c>
      <c r="DB2" t="s">
        <v>193</v>
      </c>
      <c r="DC2" t="s">
        <v>194</v>
      </c>
    </row>
    <row r="3" spans="1:108" ht="16" customHeight="1" x14ac:dyDescent="0.2">
      <c r="A3" t="s">
        <v>43</v>
      </c>
      <c r="B3" t="s">
        <v>547</v>
      </c>
      <c r="C3" t="s">
        <v>548</v>
      </c>
      <c r="D3" t="s">
        <v>174</v>
      </c>
      <c r="E3" t="s">
        <v>175</v>
      </c>
      <c r="F3" t="s">
        <v>176</v>
      </c>
      <c r="G3">
        <v>0.5</v>
      </c>
      <c r="H3">
        <v>5</v>
      </c>
      <c r="I3" t="s">
        <v>177</v>
      </c>
      <c r="J3" t="s">
        <v>178</v>
      </c>
      <c r="K3" t="s">
        <v>179</v>
      </c>
      <c r="L3" t="s">
        <v>180</v>
      </c>
      <c r="M3">
        <v>9</v>
      </c>
      <c r="N3">
        <v>0.2</v>
      </c>
      <c r="O3">
        <v>0.2</v>
      </c>
      <c r="P3">
        <v>0.2</v>
      </c>
      <c r="Q3">
        <v>10.210000000000001</v>
      </c>
      <c r="R3">
        <v>10</v>
      </c>
      <c r="S3">
        <v>10</v>
      </c>
      <c r="T3">
        <v>9290</v>
      </c>
      <c r="U3">
        <v>20</v>
      </c>
      <c r="V3">
        <v>9310</v>
      </c>
      <c r="W3">
        <v>10</v>
      </c>
      <c r="X3">
        <v>9290</v>
      </c>
      <c r="Y3">
        <v>20</v>
      </c>
      <c r="Z3">
        <v>9310</v>
      </c>
      <c r="AA3">
        <v>100</v>
      </c>
      <c r="AB3">
        <v>100</v>
      </c>
      <c r="AC3">
        <v>0</v>
      </c>
      <c r="AD3">
        <v>0</v>
      </c>
      <c r="AE3">
        <v>1E-3</v>
      </c>
      <c r="AF3">
        <v>10.204000000000001</v>
      </c>
      <c r="AG3">
        <v>5.0000000000000001E-3</v>
      </c>
      <c r="AH3">
        <v>1E-3</v>
      </c>
      <c r="AI3">
        <v>0.51500000000000001</v>
      </c>
      <c r="AJ3">
        <v>7.6269999999999998</v>
      </c>
      <c r="AK3">
        <v>0</v>
      </c>
      <c r="AL3">
        <v>0</v>
      </c>
      <c r="AM3">
        <v>1E-3</v>
      </c>
      <c r="AN3">
        <v>1.3029999999999999</v>
      </c>
      <c r="AO3">
        <v>0.214</v>
      </c>
      <c r="AP3">
        <v>1E-3</v>
      </c>
      <c r="AQ3">
        <v>0</v>
      </c>
      <c r="AR3">
        <v>0</v>
      </c>
      <c r="AS3">
        <v>0</v>
      </c>
      <c r="AT3" t="s">
        <v>243</v>
      </c>
      <c r="AU3" t="s">
        <v>243</v>
      </c>
      <c r="AV3" t="s">
        <v>549</v>
      </c>
      <c r="CY3">
        <v>9</v>
      </c>
      <c r="CZ3">
        <v>5</v>
      </c>
      <c r="DA3">
        <v>4</v>
      </c>
      <c r="DB3">
        <v>0.8</v>
      </c>
      <c r="DC3">
        <v>80</v>
      </c>
    </row>
    <row r="4" spans="1:108" ht="16" customHeight="1" x14ac:dyDescent="0.2">
      <c r="A4" t="s">
        <v>43</v>
      </c>
      <c r="B4" t="s">
        <v>550</v>
      </c>
      <c r="C4" t="s">
        <v>548</v>
      </c>
      <c r="D4" t="s">
        <v>174</v>
      </c>
      <c r="E4" t="s">
        <v>175</v>
      </c>
      <c r="F4" t="s">
        <v>176</v>
      </c>
      <c r="G4">
        <v>0.5</v>
      </c>
      <c r="H4">
        <v>10</v>
      </c>
      <c r="I4" t="s">
        <v>177</v>
      </c>
      <c r="J4" t="s">
        <v>178</v>
      </c>
      <c r="K4" t="s">
        <v>179</v>
      </c>
      <c r="L4" t="s">
        <v>180</v>
      </c>
      <c r="M4">
        <v>9</v>
      </c>
      <c r="N4">
        <v>0.2</v>
      </c>
      <c r="O4">
        <v>0.2</v>
      </c>
      <c r="P4">
        <v>0.2</v>
      </c>
      <c r="Q4">
        <v>1.23</v>
      </c>
      <c r="R4">
        <v>10</v>
      </c>
      <c r="S4">
        <v>10</v>
      </c>
      <c r="T4">
        <v>9290</v>
      </c>
      <c r="U4">
        <v>20</v>
      </c>
      <c r="V4">
        <v>9310</v>
      </c>
      <c r="W4">
        <v>10</v>
      </c>
      <c r="X4">
        <v>9290</v>
      </c>
      <c r="Y4">
        <v>20</v>
      </c>
      <c r="Z4">
        <v>9310</v>
      </c>
      <c r="AA4">
        <v>100</v>
      </c>
      <c r="AB4">
        <v>100</v>
      </c>
      <c r="AC4">
        <v>0</v>
      </c>
      <c r="AD4">
        <v>0</v>
      </c>
      <c r="AE4">
        <v>0</v>
      </c>
      <c r="AF4">
        <v>1.2250000000000001</v>
      </c>
      <c r="AG4">
        <v>3.0000000000000001E-3</v>
      </c>
      <c r="AH4">
        <v>1E-3</v>
      </c>
      <c r="AI4">
        <v>9.8000000000000004E-2</v>
      </c>
      <c r="AJ4">
        <v>8.0000000000000002E-3</v>
      </c>
      <c r="AK4">
        <v>0</v>
      </c>
      <c r="AL4">
        <v>0</v>
      </c>
      <c r="AM4">
        <v>1E-3</v>
      </c>
      <c r="AN4">
        <v>0.81599999999999995</v>
      </c>
      <c r="AO4">
        <v>3.5000000000000003E-2</v>
      </c>
      <c r="AP4">
        <v>1E-3</v>
      </c>
      <c r="AQ4">
        <v>0</v>
      </c>
      <c r="AR4">
        <v>0</v>
      </c>
      <c r="AS4">
        <v>0</v>
      </c>
      <c r="AT4" t="s">
        <v>243</v>
      </c>
      <c r="AU4" t="s">
        <v>243</v>
      </c>
      <c r="AV4" t="s">
        <v>549</v>
      </c>
      <c r="CY4">
        <v>9</v>
      </c>
      <c r="CZ4">
        <v>5</v>
      </c>
      <c r="DA4">
        <v>4</v>
      </c>
      <c r="DB4">
        <v>0.8</v>
      </c>
      <c r="DC4">
        <v>80</v>
      </c>
    </row>
    <row r="5" spans="1:108" ht="16" customHeight="1" x14ac:dyDescent="0.2">
      <c r="A5" t="s">
        <v>43</v>
      </c>
      <c r="B5" t="s">
        <v>551</v>
      </c>
      <c r="C5" t="s">
        <v>548</v>
      </c>
      <c r="D5" t="s">
        <v>174</v>
      </c>
      <c r="E5" t="s">
        <v>175</v>
      </c>
      <c r="F5" t="s">
        <v>176</v>
      </c>
      <c r="G5">
        <v>0.5</v>
      </c>
      <c r="H5">
        <v>15</v>
      </c>
      <c r="I5" t="s">
        <v>177</v>
      </c>
      <c r="J5" t="s">
        <v>178</v>
      </c>
      <c r="K5" t="s">
        <v>179</v>
      </c>
      <c r="L5" t="s">
        <v>180</v>
      </c>
      <c r="M5">
        <v>7</v>
      </c>
      <c r="N5">
        <v>0.6</v>
      </c>
      <c r="O5">
        <v>0.6</v>
      </c>
      <c r="P5">
        <v>0.6</v>
      </c>
      <c r="Q5">
        <v>1.49</v>
      </c>
      <c r="R5">
        <v>15</v>
      </c>
      <c r="S5">
        <v>15</v>
      </c>
      <c r="T5">
        <v>13935</v>
      </c>
      <c r="U5">
        <v>30</v>
      </c>
      <c r="V5">
        <v>13965</v>
      </c>
      <c r="W5">
        <v>15</v>
      </c>
      <c r="X5">
        <v>13935</v>
      </c>
      <c r="Y5">
        <v>30</v>
      </c>
      <c r="Z5">
        <v>13965</v>
      </c>
      <c r="AA5">
        <v>100</v>
      </c>
      <c r="AB5">
        <v>100</v>
      </c>
      <c r="AC5">
        <v>0</v>
      </c>
      <c r="AD5">
        <v>0</v>
      </c>
      <c r="AE5">
        <v>0</v>
      </c>
      <c r="AF5">
        <v>1.488</v>
      </c>
      <c r="AG5">
        <v>4.0000000000000001E-3</v>
      </c>
      <c r="AH5">
        <v>1E-3</v>
      </c>
      <c r="AI5">
        <v>9.9000000000000005E-2</v>
      </c>
      <c r="AJ5">
        <v>8.0000000000000002E-3</v>
      </c>
      <c r="AK5">
        <v>0</v>
      </c>
      <c r="AL5">
        <v>0</v>
      </c>
      <c r="AM5">
        <v>0</v>
      </c>
      <c r="AN5">
        <v>1.1100000000000001</v>
      </c>
      <c r="AO5">
        <v>4.1000000000000002E-2</v>
      </c>
      <c r="AP5">
        <v>1E-3</v>
      </c>
      <c r="AQ5">
        <v>0</v>
      </c>
      <c r="AR5">
        <v>0</v>
      </c>
      <c r="AS5">
        <v>0</v>
      </c>
      <c r="AT5" t="s">
        <v>243</v>
      </c>
      <c r="AU5" t="s">
        <v>243</v>
      </c>
      <c r="AV5" t="s">
        <v>549</v>
      </c>
      <c r="CY5">
        <v>7</v>
      </c>
      <c r="CZ5">
        <v>5</v>
      </c>
      <c r="DA5">
        <v>2</v>
      </c>
      <c r="DB5">
        <v>0.4</v>
      </c>
      <c r="DC5">
        <v>40</v>
      </c>
    </row>
    <row r="6" spans="1:108" ht="16" customHeight="1" x14ac:dyDescent="0.2">
      <c r="A6" t="s">
        <v>43</v>
      </c>
      <c r="B6" t="s">
        <v>552</v>
      </c>
      <c r="C6" t="s">
        <v>548</v>
      </c>
      <c r="D6" t="s">
        <v>174</v>
      </c>
      <c r="E6" t="s">
        <v>175</v>
      </c>
      <c r="F6" t="s">
        <v>176</v>
      </c>
      <c r="G6">
        <v>0.5</v>
      </c>
      <c r="H6">
        <v>20</v>
      </c>
      <c r="I6" t="s">
        <v>177</v>
      </c>
      <c r="J6" t="s">
        <v>178</v>
      </c>
      <c r="K6" t="s">
        <v>179</v>
      </c>
      <c r="L6" t="s">
        <v>180</v>
      </c>
      <c r="M6">
        <v>7</v>
      </c>
      <c r="N6">
        <v>0.6</v>
      </c>
      <c r="O6">
        <v>0.6</v>
      </c>
      <c r="P6">
        <v>0.6</v>
      </c>
      <c r="Q6">
        <v>1.82</v>
      </c>
      <c r="R6">
        <v>20</v>
      </c>
      <c r="S6">
        <v>20</v>
      </c>
      <c r="T6">
        <v>18580</v>
      </c>
      <c r="U6">
        <v>40</v>
      </c>
      <c r="V6">
        <v>18620</v>
      </c>
      <c r="W6">
        <v>20</v>
      </c>
      <c r="X6">
        <v>18580</v>
      </c>
      <c r="Y6">
        <v>40</v>
      </c>
      <c r="Z6">
        <v>18620</v>
      </c>
      <c r="AA6">
        <v>100</v>
      </c>
      <c r="AB6">
        <v>100</v>
      </c>
      <c r="AC6">
        <v>0</v>
      </c>
      <c r="AD6">
        <v>0</v>
      </c>
      <c r="AE6">
        <v>0</v>
      </c>
      <c r="AF6">
        <v>1.8120000000000001</v>
      </c>
      <c r="AG6">
        <v>4.0000000000000001E-3</v>
      </c>
      <c r="AH6">
        <v>1E-3</v>
      </c>
      <c r="AI6">
        <v>0.105</v>
      </c>
      <c r="AJ6">
        <v>1.0999999999999999E-2</v>
      </c>
      <c r="AK6">
        <v>0</v>
      </c>
      <c r="AL6">
        <v>0</v>
      </c>
      <c r="AM6">
        <v>0</v>
      </c>
      <c r="AN6">
        <v>1.4039999999999999</v>
      </c>
      <c r="AO6">
        <v>1.9E-2</v>
      </c>
      <c r="AP6">
        <v>1E-3</v>
      </c>
      <c r="AQ6">
        <v>0</v>
      </c>
      <c r="AR6">
        <v>0</v>
      </c>
      <c r="AS6">
        <v>0</v>
      </c>
      <c r="AT6" t="s">
        <v>243</v>
      </c>
      <c r="AU6" t="s">
        <v>243</v>
      </c>
      <c r="AV6" t="s">
        <v>549</v>
      </c>
      <c r="CY6">
        <v>7</v>
      </c>
      <c r="CZ6">
        <v>5</v>
      </c>
      <c r="DA6">
        <v>2</v>
      </c>
      <c r="DB6">
        <v>0.4</v>
      </c>
      <c r="DC6">
        <v>40</v>
      </c>
    </row>
    <row r="7" spans="1:108" ht="16" customHeight="1" x14ac:dyDescent="0.2">
      <c r="A7" t="s">
        <v>43</v>
      </c>
      <c r="B7" t="s">
        <v>553</v>
      </c>
      <c r="C7" t="s">
        <v>548</v>
      </c>
      <c r="D7" t="s">
        <v>174</v>
      </c>
      <c r="E7" t="s">
        <v>175</v>
      </c>
      <c r="F7" t="s">
        <v>176</v>
      </c>
      <c r="G7">
        <v>0.5</v>
      </c>
      <c r="H7">
        <v>25</v>
      </c>
      <c r="I7" t="s">
        <v>177</v>
      </c>
      <c r="J7" t="s">
        <v>178</v>
      </c>
      <c r="K7" t="s">
        <v>179</v>
      </c>
      <c r="L7" t="s">
        <v>180</v>
      </c>
      <c r="M7">
        <v>6</v>
      </c>
      <c r="N7">
        <v>0.8</v>
      </c>
      <c r="O7">
        <v>0.8</v>
      </c>
      <c r="P7">
        <v>0.8</v>
      </c>
      <c r="Q7">
        <v>2.11</v>
      </c>
      <c r="R7">
        <v>25</v>
      </c>
      <c r="S7">
        <v>25</v>
      </c>
      <c r="T7">
        <v>22645</v>
      </c>
      <c r="U7">
        <v>50</v>
      </c>
      <c r="V7">
        <v>22695</v>
      </c>
      <c r="W7">
        <v>25</v>
      </c>
      <c r="X7">
        <v>22645</v>
      </c>
      <c r="Y7">
        <v>50</v>
      </c>
      <c r="Z7">
        <v>22695</v>
      </c>
      <c r="AA7">
        <v>100</v>
      </c>
      <c r="AB7">
        <v>100</v>
      </c>
      <c r="AC7">
        <v>0</v>
      </c>
      <c r="AD7">
        <v>0</v>
      </c>
      <c r="AE7">
        <v>0</v>
      </c>
      <c r="AF7">
        <v>2.101</v>
      </c>
      <c r="AG7">
        <v>4.0000000000000001E-3</v>
      </c>
      <c r="AH7">
        <v>1E-3</v>
      </c>
      <c r="AI7">
        <v>9.6000000000000002E-2</v>
      </c>
      <c r="AJ7">
        <v>8.9999999999999993E-3</v>
      </c>
      <c r="AK7">
        <v>0</v>
      </c>
      <c r="AL7">
        <v>0</v>
      </c>
      <c r="AM7">
        <v>1E-3</v>
      </c>
      <c r="AN7">
        <v>1.754</v>
      </c>
      <c r="AO7">
        <v>2.5000000000000001E-2</v>
      </c>
      <c r="AP7">
        <v>1E-3</v>
      </c>
      <c r="AQ7">
        <v>0</v>
      </c>
      <c r="AR7">
        <v>0</v>
      </c>
      <c r="AS7">
        <v>0</v>
      </c>
      <c r="AT7" t="s">
        <v>243</v>
      </c>
      <c r="AU7" t="s">
        <v>243</v>
      </c>
      <c r="AV7" t="s">
        <v>549</v>
      </c>
      <c r="CY7">
        <v>6</v>
      </c>
      <c r="CZ7">
        <v>5</v>
      </c>
      <c r="DA7">
        <v>1</v>
      </c>
      <c r="DB7">
        <v>0.2</v>
      </c>
      <c r="DC7">
        <v>20</v>
      </c>
    </row>
    <row r="8" spans="1:108" ht="16" customHeight="1" x14ac:dyDescent="0.2">
      <c r="A8" t="s">
        <v>43</v>
      </c>
      <c r="B8" t="s">
        <v>554</v>
      </c>
      <c r="C8" t="s">
        <v>265</v>
      </c>
      <c r="D8" t="s">
        <v>174</v>
      </c>
      <c r="E8" t="s">
        <v>175</v>
      </c>
      <c r="F8" t="s">
        <v>176</v>
      </c>
      <c r="G8">
        <v>0.5</v>
      </c>
      <c r="H8">
        <v>5</v>
      </c>
      <c r="I8" t="s">
        <v>177</v>
      </c>
      <c r="J8" t="s">
        <v>178</v>
      </c>
      <c r="K8" t="s">
        <v>179</v>
      </c>
      <c r="L8" t="s">
        <v>180</v>
      </c>
      <c r="M8">
        <v>7</v>
      </c>
      <c r="N8">
        <v>0.6</v>
      </c>
      <c r="O8">
        <v>0.6</v>
      </c>
      <c r="P8">
        <v>0.6</v>
      </c>
      <c r="Q8">
        <v>2.16</v>
      </c>
      <c r="R8">
        <v>15</v>
      </c>
      <c r="S8">
        <v>15</v>
      </c>
      <c r="T8">
        <v>13935</v>
      </c>
      <c r="U8">
        <v>30</v>
      </c>
      <c r="V8">
        <v>13965</v>
      </c>
      <c r="W8">
        <v>15</v>
      </c>
      <c r="X8">
        <v>13935</v>
      </c>
      <c r="Y8">
        <v>30</v>
      </c>
      <c r="Z8">
        <v>13965</v>
      </c>
      <c r="AA8">
        <v>100</v>
      </c>
      <c r="AB8">
        <v>100</v>
      </c>
      <c r="AC8">
        <v>0</v>
      </c>
      <c r="AD8">
        <v>0</v>
      </c>
      <c r="AE8">
        <v>0</v>
      </c>
      <c r="AF8">
        <v>2.1560000000000001</v>
      </c>
      <c r="AG8">
        <v>3.0000000000000001E-3</v>
      </c>
      <c r="AH8">
        <v>1E-3</v>
      </c>
      <c r="AI8">
        <v>0.13900000000000001</v>
      </c>
      <c r="AJ8">
        <v>1.0999999999999999E-2</v>
      </c>
      <c r="AK8">
        <v>0</v>
      </c>
      <c r="AL8">
        <v>0</v>
      </c>
      <c r="AM8">
        <v>1.6E-2</v>
      </c>
      <c r="AN8">
        <v>1.7450000000000001</v>
      </c>
      <c r="AO8">
        <v>2.1000000000000001E-2</v>
      </c>
      <c r="AP8">
        <v>1E-3</v>
      </c>
      <c r="AQ8">
        <v>0</v>
      </c>
      <c r="AR8">
        <v>0</v>
      </c>
      <c r="AS8">
        <v>0</v>
      </c>
      <c r="AT8" t="s">
        <v>243</v>
      </c>
      <c r="AU8" t="s">
        <v>243</v>
      </c>
      <c r="AV8" t="s">
        <v>549</v>
      </c>
      <c r="CY8">
        <v>7</v>
      </c>
      <c r="CZ8">
        <v>5</v>
      </c>
      <c r="DA8">
        <v>2</v>
      </c>
      <c r="DB8">
        <v>0.4</v>
      </c>
      <c r="DC8">
        <v>40</v>
      </c>
    </row>
    <row r="9" spans="1:108" ht="16" customHeight="1" x14ac:dyDescent="0.2">
      <c r="A9" t="s">
        <v>43</v>
      </c>
      <c r="B9" t="s">
        <v>555</v>
      </c>
      <c r="C9" t="s">
        <v>265</v>
      </c>
      <c r="D9" t="s">
        <v>174</v>
      </c>
      <c r="E9" t="s">
        <v>175</v>
      </c>
      <c r="F9" t="s">
        <v>176</v>
      </c>
      <c r="G9">
        <v>0.5</v>
      </c>
      <c r="H9">
        <v>10</v>
      </c>
      <c r="I9" t="s">
        <v>177</v>
      </c>
      <c r="J9" t="s">
        <v>178</v>
      </c>
      <c r="K9" t="s">
        <v>179</v>
      </c>
      <c r="L9" t="s">
        <v>180</v>
      </c>
      <c r="M9">
        <v>7</v>
      </c>
      <c r="N9">
        <v>0.6</v>
      </c>
      <c r="O9">
        <v>0.6</v>
      </c>
      <c r="P9">
        <v>0.6</v>
      </c>
      <c r="Q9">
        <v>1.96</v>
      </c>
      <c r="R9">
        <v>15</v>
      </c>
      <c r="S9">
        <v>15</v>
      </c>
      <c r="T9">
        <v>13935</v>
      </c>
      <c r="U9">
        <v>30</v>
      </c>
      <c r="V9">
        <v>13965</v>
      </c>
      <c r="W9">
        <v>15</v>
      </c>
      <c r="X9">
        <v>13935</v>
      </c>
      <c r="Y9">
        <v>30</v>
      </c>
      <c r="Z9">
        <v>13965</v>
      </c>
      <c r="AA9">
        <v>100</v>
      </c>
      <c r="AB9">
        <v>100</v>
      </c>
      <c r="AC9">
        <v>0</v>
      </c>
      <c r="AD9">
        <v>0</v>
      </c>
      <c r="AE9">
        <v>0</v>
      </c>
      <c r="AF9">
        <v>1.952</v>
      </c>
      <c r="AG9">
        <v>4.0000000000000001E-3</v>
      </c>
      <c r="AH9">
        <v>2E-3</v>
      </c>
      <c r="AI9">
        <v>7.3999999999999996E-2</v>
      </c>
      <c r="AJ9">
        <v>0.01</v>
      </c>
      <c r="AK9">
        <v>0</v>
      </c>
      <c r="AL9">
        <v>0</v>
      </c>
      <c r="AM9">
        <v>6.0000000000000001E-3</v>
      </c>
      <c r="AN9">
        <v>1.5509999999999999</v>
      </c>
      <c r="AO9">
        <v>0.11600000000000001</v>
      </c>
      <c r="AP9">
        <v>2E-3</v>
      </c>
      <c r="AQ9">
        <v>0</v>
      </c>
      <c r="AR9">
        <v>0</v>
      </c>
      <c r="AS9">
        <v>0</v>
      </c>
      <c r="AT9" t="s">
        <v>243</v>
      </c>
      <c r="AU9" t="s">
        <v>243</v>
      </c>
      <c r="AV9" t="s">
        <v>549</v>
      </c>
      <c r="CY9">
        <v>7</v>
      </c>
      <c r="CZ9">
        <v>5</v>
      </c>
      <c r="DA9">
        <v>2</v>
      </c>
      <c r="DB9">
        <v>0.4</v>
      </c>
      <c r="DC9">
        <v>40</v>
      </c>
    </row>
    <row r="10" spans="1:108" ht="16" customHeight="1" x14ac:dyDescent="0.2">
      <c r="A10" t="s">
        <v>43</v>
      </c>
      <c r="B10" t="s">
        <v>556</v>
      </c>
      <c r="C10" t="s">
        <v>265</v>
      </c>
      <c r="D10" t="s">
        <v>174</v>
      </c>
      <c r="E10" t="s">
        <v>175</v>
      </c>
      <c r="F10" t="s">
        <v>176</v>
      </c>
      <c r="G10">
        <v>0.5</v>
      </c>
      <c r="H10">
        <v>15</v>
      </c>
      <c r="I10" t="s">
        <v>177</v>
      </c>
      <c r="J10" t="s">
        <v>178</v>
      </c>
      <c r="K10" t="s">
        <v>179</v>
      </c>
      <c r="L10" t="s">
        <v>180</v>
      </c>
      <c r="M10">
        <v>7</v>
      </c>
      <c r="N10">
        <v>0.6</v>
      </c>
      <c r="O10">
        <v>0.6</v>
      </c>
      <c r="P10">
        <v>0.6</v>
      </c>
      <c r="Q10">
        <v>1.95</v>
      </c>
      <c r="R10">
        <v>15</v>
      </c>
      <c r="S10">
        <v>15</v>
      </c>
      <c r="T10">
        <v>13935</v>
      </c>
      <c r="U10">
        <v>30</v>
      </c>
      <c r="V10">
        <v>13965</v>
      </c>
      <c r="W10">
        <v>15</v>
      </c>
      <c r="X10">
        <v>13935</v>
      </c>
      <c r="Y10">
        <v>30</v>
      </c>
      <c r="Z10">
        <v>13965</v>
      </c>
      <c r="AA10">
        <v>100</v>
      </c>
      <c r="AB10">
        <v>100</v>
      </c>
      <c r="AC10">
        <v>0</v>
      </c>
      <c r="AD10">
        <v>0</v>
      </c>
      <c r="AE10">
        <v>0</v>
      </c>
      <c r="AF10">
        <v>1.94</v>
      </c>
      <c r="AG10">
        <v>4.0000000000000001E-3</v>
      </c>
      <c r="AH10">
        <v>2E-3</v>
      </c>
      <c r="AI10">
        <v>7.0999999999999994E-2</v>
      </c>
      <c r="AJ10">
        <v>0.01</v>
      </c>
      <c r="AK10">
        <v>0</v>
      </c>
      <c r="AL10">
        <v>0</v>
      </c>
      <c r="AM10">
        <v>8.0000000000000002E-3</v>
      </c>
      <c r="AN10">
        <v>1.5469999999999999</v>
      </c>
      <c r="AO10">
        <v>0.14099999999999999</v>
      </c>
      <c r="AP10">
        <v>2E-3</v>
      </c>
      <c r="AQ10">
        <v>0</v>
      </c>
      <c r="AR10">
        <v>0</v>
      </c>
      <c r="AS10">
        <v>0</v>
      </c>
      <c r="AT10" t="s">
        <v>243</v>
      </c>
      <c r="AU10" t="s">
        <v>243</v>
      </c>
      <c r="AV10" t="s">
        <v>549</v>
      </c>
      <c r="CY10">
        <v>7</v>
      </c>
      <c r="CZ10">
        <v>5</v>
      </c>
      <c r="DA10">
        <v>2</v>
      </c>
      <c r="DB10">
        <v>0.4</v>
      </c>
      <c r="DC10">
        <v>40</v>
      </c>
    </row>
    <row r="11" spans="1:108" ht="16" customHeight="1" x14ac:dyDescent="0.2">
      <c r="A11" t="s">
        <v>43</v>
      </c>
      <c r="B11" t="s">
        <v>557</v>
      </c>
      <c r="C11" t="s">
        <v>265</v>
      </c>
      <c r="D11" t="s">
        <v>174</v>
      </c>
      <c r="E11" t="s">
        <v>175</v>
      </c>
      <c r="F11" t="s">
        <v>176</v>
      </c>
      <c r="G11">
        <v>0.5</v>
      </c>
      <c r="H11">
        <v>20</v>
      </c>
      <c r="I11" t="s">
        <v>177</v>
      </c>
      <c r="J11" t="s">
        <v>178</v>
      </c>
      <c r="K11" t="s">
        <v>179</v>
      </c>
      <c r="L11" t="s">
        <v>180</v>
      </c>
      <c r="M11">
        <v>6</v>
      </c>
      <c r="N11">
        <v>0.8</v>
      </c>
      <c r="O11">
        <v>0.8</v>
      </c>
      <c r="P11">
        <v>0.8</v>
      </c>
      <c r="Q11">
        <v>2.39</v>
      </c>
      <c r="R11">
        <v>20</v>
      </c>
      <c r="S11">
        <v>20</v>
      </c>
      <c r="T11">
        <v>18000</v>
      </c>
      <c r="U11">
        <v>40</v>
      </c>
      <c r="V11">
        <v>18040</v>
      </c>
      <c r="W11">
        <v>20</v>
      </c>
      <c r="X11">
        <v>18000</v>
      </c>
      <c r="Y11">
        <v>40</v>
      </c>
      <c r="Z11">
        <v>18040</v>
      </c>
      <c r="AA11">
        <v>100</v>
      </c>
      <c r="AB11">
        <v>100</v>
      </c>
      <c r="AC11">
        <v>0</v>
      </c>
      <c r="AD11">
        <v>0</v>
      </c>
      <c r="AE11">
        <v>0</v>
      </c>
      <c r="AF11">
        <v>2.3820000000000001</v>
      </c>
      <c r="AG11">
        <v>4.0000000000000001E-3</v>
      </c>
      <c r="AH11">
        <v>1E-3</v>
      </c>
      <c r="AI11">
        <v>6.9000000000000006E-2</v>
      </c>
      <c r="AJ11">
        <v>0.01</v>
      </c>
      <c r="AK11">
        <v>0</v>
      </c>
      <c r="AL11">
        <v>0</v>
      </c>
      <c r="AM11">
        <v>7.0000000000000001E-3</v>
      </c>
      <c r="AN11">
        <v>2.0950000000000002</v>
      </c>
      <c r="AO11">
        <v>1.6E-2</v>
      </c>
      <c r="AP11">
        <v>1E-3</v>
      </c>
      <c r="AQ11">
        <v>0</v>
      </c>
      <c r="AR11">
        <v>0</v>
      </c>
      <c r="AS11">
        <v>0</v>
      </c>
      <c r="AT11" t="s">
        <v>243</v>
      </c>
      <c r="AU11" t="s">
        <v>243</v>
      </c>
      <c r="AV11" t="s">
        <v>549</v>
      </c>
      <c r="CY11">
        <v>6</v>
      </c>
      <c r="CZ11">
        <v>5</v>
      </c>
      <c r="DA11">
        <v>1</v>
      </c>
      <c r="DB11">
        <v>0.2</v>
      </c>
      <c r="DC11">
        <v>20</v>
      </c>
    </row>
    <row r="12" spans="1:108" x14ac:dyDescent="0.2">
      <c r="A12" t="s">
        <v>43</v>
      </c>
      <c r="B12" t="s">
        <v>558</v>
      </c>
      <c r="C12" t="s">
        <v>265</v>
      </c>
      <c r="D12" t="s">
        <v>174</v>
      </c>
      <c r="E12" t="s">
        <v>175</v>
      </c>
      <c r="F12" t="s">
        <v>176</v>
      </c>
      <c r="G12">
        <v>0.5</v>
      </c>
      <c r="H12">
        <v>25</v>
      </c>
      <c r="I12" t="s">
        <v>177</v>
      </c>
      <c r="J12" t="s">
        <v>178</v>
      </c>
      <c r="K12" t="s">
        <v>179</v>
      </c>
      <c r="L12" t="s">
        <v>180</v>
      </c>
      <c r="M12">
        <v>6</v>
      </c>
      <c r="N12">
        <v>0.8</v>
      </c>
      <c r="O12">
        <v>0.8</v>
      </c>
      <c r="P12">
        <v>0.8</v>
      </c>
      <c r="Q12">
        <v>3.12</v>
      </c>
      <c r="R12">
        <v>25</v>
      </c>
      <c r="S12">
        <v>25</v>
      </c>
      <c r="T12">
        <v>22645</v>
      </c>
      <c r="U12">
        <v>50</v>
      </c>
      <c r="V12">
        <v>22695</v>
      </c>
      <c r="W12">
        <v>25</v>
      </c>
      <c r="X12">
        <v>22645</v>
      </c>
      <c r="Y12">
        <v>50</v>
      </c>
      <c r="Z12">
        <v>22695</v>
      </c>
      <c r="AA12">
        <v>100</v>
      </c>
      <c r="AB12">
        <v>100</v>
      </c>
      <c r="AC12">
        <v>0</v>
      </c>
      <c r="AD12">
        <v>0</v>
      </c>
      <c r="AE12">
        <v>0</v>
      </c>
      <c r="AF12">
        <v>3.113</v>
      </c>
      <c r="AG12">
        <v>4.0000000000000001E-3</v>
      </c>
      <c r="AH12">
        <v>1E-3</v>
      </c>
      <c r="AI12">
        <v>7.2999999999999995E-2</v>
      </c>
      <c r="AJ12">
        <v>1.0999999999999999E-2</v>
      </c>
      <c r="AK12">
        <v>0</v>
      </c>
      <c r="AL12">
        <v>0</v>
      </c>
      <c r="AM12">
        <v>0.01</v>
      </c>
      <c r="AN12">
        <v>2.835</v>
      </c>
      <c r="AO12">
        <v>1.7999999999999999E-2</v>
      </c>
      <c r="AP12">
        <v>1E-3</v>
      </c>
      <c r="AQ12">
        <v>0</v>
      </c>
      <c r="AR12">
        <v>0</v>
      </c>
      <c r="AS12">
        <v>0</v>
      </c>
      <c r="AT12" t="s">
        <v>243</v>
      </c>
      <c r="AU12" t="s">
        <v>243</v>
      </c>
      <c r="AV12" t="s">
        <v>549</v>
      </c>
      <c r="CY12">
        <v>6</v>
      </c>
      <c r="CZ12">
        <v>5</v>
      </c>
      <c r="DA12">
        <v>1</v>
      </c>
      <c r="DB12">
        <v>0.2</v>
      </c>
      <c r="DC12">
        <v>20</v>
      </c>
    </row>
    <row r="14" spans="1:108" x14ac:dyDescent="0.2">
      <c r="A14" t="s">
        <v>559</v>
      </c>
    </row>
    <row r="15" spans="1:108" ht="16" customHeight="1" x14ac:dyDescent="0.2">
      <c r="A15" t="s">
        <v>0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  <c r="G15" t="s">
        <v>76</v>
      </c>
      <c r="H15" t="s">
        <v>77</v>
      </c>
      <c r="I15" t="s">
        <v>78</v>
      </c>
      <c r="J15" t="s">
        <v>79</v>
      </c>
      <c r="K15" t="s">
        <v>80</v>
      </c>
      <c r="L15" t="s">
        <v>81</v>
      </c>
      <c r="M15" t="s">
        <v>82</v>
      </c>
      <c r="N15" t="s">
        <v>83</v>
      </c>
      <c r="O15" t="s">
        <v>84</v>
      </c>
      <c r="P15" t="s">
        <v>85</v>
      </c>
      <c r="Q15" t="s">
        <v>86</v>
      </c>
      <c r="R15" t="s">
        <v>87</v>
      </c>
      <c r="S15" t="s">
        <v>88</v>
      </c>
      <c r="T15" t="s">
        <v>89</v>
      </c>
      <c r="U15" t="s">
        <v>90</v>
      </c>
      <c r="V15" t="s">
        <v>91</v>
      </c>
      <c r="W15" t="s">
        <v>92</v>
      </c>
      <c r="X15" t="s">
        <v>93</v>
      </c>
      <c r="Y15" t="s">
        <v>94</v>
      </c>
      <c r="Z15" t="s">
        <v>95</v>
      </c>
      <c r="AA15" t="s">
        <v>96</v>
      </c>
      <c r="AB15" t="s">
        <v>97</v>
      </c>
      <c r="AC15" t="s">
        <v>98</v>
      </c>
      <c r="AD15" t="s">
        <v>99</v>
      </c>
      <c r="AE15" t="s">
        <v>100</v>
      </c>
      <c r="AF15" t="s">
        <v>101</v>
      </c>
      <c r="AG15" t="s">
        <v>102</v>
      </c>
      <c r="AH15" t="s">
        <v>103</v>
      </c>
      <c r="AI15" t="s">
        <v>104</v>
      </c>
      <c r="AJ15" t="s">
        <v>105</v>
      </c>
      <c r="AK15" t="s">
        <v>106</v>
      </c>
      <c r="AL15" t="s">
        <v>107</v>
      </c>
      <c r="AM15" t="s">
        <v>108</v>
      </c>
      <c r="AN15" t="s">
        <v>109</v>
      </c>
      <c r="AO15" t="s">
        <v>110</v>
      </c>
      <c r="AP15" t="s">
        <v>111</v>
      </c>
      <c r="AQ15" t="s">
        <v>112</v>
      </c>
      <c r="AR15" t="s">
        <v>113</v>
      </c>
      <c r="AS15" t="s">
        <v>114</v>
      </c>
      <c r="AT15" t="s">
        <v>115</v>
      </c>
      <c r="AU15" t="s">
        <v>116</v>
      </c>
      <c r="AV15" t="s">
        <v>117</v>
      </c>
      <c r="AW15" t="s">
        <v>118</v>
      </c>
      <c r="AX15" t="s">
        <v>119</v>
      </c>
      <c r="AY15" t="s">
        <v>120</v>
      </c>
      <c r="AZ15" t="s">
        <v>121</v>
      </c>
      <c r="BA15" t="s">
        <v>122</v>
      </c>
      <c r="BB15" t="s">
        <v>123</v>
      </c>
      <c r="BC15" t="s">
        <v>124</v>
      </c>
      <c r="BD15" t="s">
        <v>125</v>
      </c>
      <c r="BE15" t="s">
        <v>126</v>
      </c>
      <c r="BF15" t="s">
        <v>127</v>
      </c>
      <c r="BG15" t="s">
        <v>128</v>
      </c>
      <c r="BH15" t="s">
        <v>129</v>
      </c>
      <c r="BI15" t="s">
        <v>130</v>
      </c>
      <c r="BJ15" t="s">
        <v>131</v>
      </c>
      <c r="BK15" t="s">
        <v>132</v>
      </c>
      <c r="BL15" t="s">
        <v>133</v>
      </c>
      <c r="BM15" t="s">
        <v>134</v>
      </c>
      <c r="BN15" t="s">
        <v>135</v>
      </c>
      <c r="BO15" t="s">
        <v>136</v>
      </c>
      <c r="BP15" t="s">
        <v>137</v>
      </c>
      <c r="BQ15" t="s">
        <v>138</v>
      </c>
      <c r="BR15" t="s">
        <v>139</v>
      </c>
      <c r="BS15" t="s">
        <v>140</v>
      </c>
      <c r="BT15" t="s">
        <v>141</v>
      </c>
      <c r="BU15" t="s">
        <v>142</v>
      </c>
      <c r="BV15" t="s">
        <v>143</v>
      </c>
      <c r="BW15" t="s">
        <v>144</v>
      </c>
      <c r="BX15" t="s">
        <v>145</v>
      </c>
      <c r="BY15" t="s">
        <v>146</v>
      </c>
      <c r="BZ15" t="s">
        <v>147</v>
      </c>
      <c r="CA15" t="s">
        <v>148</v>
      </c>
      <c r="CB15" t="s">
        <v>149</v>
      </c>
      <c r="CC15" t="s">
        <v>150</v>
      </c>
      <c r="CD15" t="s">
        <v>151</v>
      </c>
      <c r="CE15" t="s">
        <v>152</v>
      </c>
      <c r="CF15" t="s">
        <v>153</v>
      </c>
      <c r="CG15" t="s">
        <v>154</v>
      </c>
      <c r="CH15" t="s">
        <v>155</v>
      </c>
      <c r="CI15" t="s">
        <v>156</v>
      </c>
      <c r="CJ15" t="s">
        <v>157</v>
      </c>
      <c r="CK15" t="s">
        <v>158</v>
      </c>
      <c r="CL15" t="s">
        <v>159</v>
      </c>
      <c r="CM15" t="s">
        <v>160</v>
      </c>
      <c r="CN15" t="s">
        <v>161</v>
      </c>
      <c r="CO15" t="s">
        <v>162</v>
      </c>
      <c r="CP15" t="s">
        <v>163</v>
      </c>
      <c r="CQ15" t="s">
        <v>164</v>
      </c>
      <c r="CR15" t="s">
        <v>165</v>
      </c>
      <c r="CS15" t="s">
        <v>166</v>
      </c>
      <c r="CT15" t="s">
        <v>167</v>
      </c>
      <c r="CU15" t="s">
        <v>168</v>
      </c>
      <c r="CV15" t="s">
        <v>169</v>
      </c>
      <c r="CW15" t="s">
        <v>170</v>
      </c>
      <c r="CX15" t="s">
        <v>171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</row>
    <row r="16" spans="1:108" ht="16" customHeight="1" x14ac:dyDescent="0.2">
      <c r="A16" t="s">
        <v>560</v>
      </c>
      <c r="B16" t="s">
        <v>561</v>
      </c>
      <c r="C16" t="s">
        <v>548</v>
      </c>
      <c r="D16" t="s">
        <v>174</v>
      </c>
      <c r="E16" t="s">
        <v>175</v>
      </c>
      <c r="F16" t="s">
        <v>176</v>
      </c>
      <c r="G16">
        <v>0.5</v>
      </c>
      <c r="H16">
        <v>2</v>
      </c>
      <c r="I16" t="s">
        <v>177</v>
      </c>
      <c r="J16" t="s">
        <v>178</v>
      </c>
      <c r="K16" t="s">
        <v>179</v>
      </c>
      <c r="L16" t="s">
        <v>180</v>
      </c>
      <c r="M16">
        <v>8535</v>
      </c>
      <c r="N16">
        <v>5.0615114235500878E-2</v>
      </c>
      <c r="O16">
        <v>0.95364238410596025</v>
      </c>
      <c r="P16">
        <v>9.6128170894526035E-2</v>
      </c>
      <c r="Q16">
        <v>25.01</v>
      </c>
      <c r="R16">
        <v>196</v>
      </c>
      <c r="S16">
        <v>196</v>
      </c>
      <c r="T16">
        <v>53798</v>
      </c>
      <c r="U16">
        <v>392</v>
      </c>
      <c r="V16">
        <v>54190</v>
      </c>
      <c r="W16">
        <v>7</v>
      </c>
      <c r="X16">
        <v>53798</v>
      </c>
      <c r="Y16">
        <v>392</v>
      </c>
      <c r="Z16">
        <v>54190</v>
      </c>
      <c r="AA16">
        <v>9828</v>
      </c>
      <c r="AB16">
        <v>9828</v>
      </c>
      <c r="AC16">
        <v>0</v>
      </c>
      <c r="AD16">
        <v>0</v>
      </c>
      <c r="AE16">
        <v>20.087</v>
      </c>
      <c r="AF16">
        <v>4.8819999999999997</v>
      </c>
      <c r="AG16">
        <v>1.4E-2</v>
      </c>
      <c r="AH16">
        <v>2.7E-2</v>
      </c>
      <c r="AI16">
        <v>0.98699999999999999</v>
      </c>
      <c r="AJ16">
        <v>6.9000000000000006E-2</v>
      </c>
      <c r="AK16">
        <v>0</v>
      </c>
      <c r="AL16">
        <v>0</v>
      </c>
      <c r="AM16">
        <v>1E-3</v>
      </c>
      <c r="AN16">
        <v>2.4950000000000001</v>
      </c>
      <c r="AO16">
        <v>0.17699999999999999</v>
      </c>
      <c r="AP16">
        <v>2.7E-2</v>
      </c>
      <c r="AQ16">
        <v>0</v>
      </c>
      <c r="AR16">
        <v>0</v>
      </c>
      <c r="AS16">
        <v>0</v>
      </c>
      <c r="AT16" t="s">
        <v>243</v>
      </c>
      <c r="AU16" t="s">
        <v>243</v>
      </c>
      <c r="AV16" t="s">
        <v>549</v>
      </c>
    </row>
    <row r="17" spans="1:48" ht="16" customHeight="1" x14ac:dyDescent="0.2">
      <c r="A17" t="s">
        <v>560</v>
      </c>
      <c r="B17" t="s">
        <v>562</v>
      </c>
      <c r="C17" t="s">
        <v>548</v>
      </c>
      <c r="D17" t="s">
        <v>174</v>
      </c>
      <c r="E17" t="s">
        <v>175</v>
      </c>
      <c r="F17" t="s">
        <v>176</v>
      </c>
      <c r="G17">
        <v>0.5</v>
      </c>
      <c r="H17">
        <v>4</v>
      </c>
      <c r="I17" t="s">
        <v>177</v>
      </c>
      <c r="J17" t="s">
        <v>178</v>
      </c>
      <c r="K17" t="s">
        <v>179</v>
      </c>
      <c r="L17" t="s">
        <v>180</v>
      </c>
      <c r="M17">
        <v>9169</v>
      </c>
      <c r="N17">
        <v>4.8314974370160323E-2</v>
      </c>
      <c r="O17">
        <v>0.97792494481236203</v>
      </c>
      <c r="P17">
        <v>9.2080648513822486E-2</v>
      </c>
      <c r="Q17">
        <v>17.489999999999998</v>
      </c>
      <c r="R17">
        <v>393</v>
      </c>
      <c r="S17">
        <v>393</v>
      </c>
      <c r="T17">
        <v>104227</v>
      </c>
      <c r="U17">
        <v>786</v>
      </c>
      <c r="V17">
        <v>105013</v>
      </c>
      <c r="W17">
        <v>13</v>
      </c>
      <c r="X17">
        <v>104227</v>
      </c>
      <c r="Y17">
        <v>786</v>
      </c>
      <c r="Z17">
        <v>105013</v>
      </c>
      <c r="AA17">
        <v>9828</v>
      </c>
      <c r="AB17">
        <v>9828</v>
      </c>
      <c r="AC17">
        <v>0</v>
      </c>
      <c r="AD17">
        <v>0</v>
      </c>
      <c r="AE17">
        <v>13.968999999999999</v>
      </c>
      <c r="AF17">
        <v>3.4569999999999999</v>
      </c>
      <c r="AG17">
        <v>2.3E-2</v>
      </c>
      <c r="AH17">
        <v>0.04</v>
      </c>
      <c r="AI17">
        <v>0.309</v>
      </c>
      <c r="AJ17">
        <v>2.9000000000000001E-2</v>
      </c>
      <c r="AK17">
        <v>0</v>
      </c>
      <c r="AL17">
        <v>0</v>
      </c>
      <c r="AM17">
        <v>1E-3</v>
      </c>
      <c r="AN17">
        <v>2.5720000000000001</v>
      </c>
      <c r="AO17">
        <v>7.0999999999999994E-2</v>
      </c>
      <c r="AP17">
        <v>0.04</v>
      </c>
      <c r="AQ17">
        <v>0</v>
      </c>
      <c r="AR17">
        <v>0</v>
      </c>
      <c r="AS17">
        <v>0</v>
      </c>
      <c r="AT17" t="s">
        <v>243</v>
      </c>
      <c r="AU17" t="s">
        <v>243</v>
      </c>
      <c r="AV17" t="s">
        <v>549</v>
      </c>
    </row>
    <row r="18" spans="1:48" ht="16" customHeight="1" x14ac:dyDescent="0.2">
      <c r="A18" t="s">
        <v>560</v>
      </c>
      <c r="B18" t="s">
        <v>563</v>
      </c>
      <c r="C18" t="s">
        <v>548</v>
      </c>
      <c r="D18" t="s">
        <v>174</v>
      </c>
      <c r="E18" t="s">
        <v>175</v>
      </c>
      <c r="F18" t="s">
        <v>176</v>
      </c>
      <c r="G18">
        <v>0.5</v>
      </c>
      <c r="H18">
        <v>6</v>
      </c>
      <c r="I18" t="s">
        <v>177</v>
      </c>
      <c r="J18" t="s">
        <v>178</v>
      </c>
      <c r="K18" t="s">
        <v>179</v>
      </c>
      <c r="L18" t="s">
        <v>180</v>
      </c>
      <c r="M18">
        <v>8120</v>
      </c>
      <c r="N18">
        <v>5.2586206896551732E-2</v>
      </c>
      <c r="O18">
        <v>0.94260485651214132</v>
      </c>
      <c r="P18">
        <v>9.9615070570395439E-2</v>
      </c>
      <c r="Q18">
        <v>17.29</v>
      </c>
      <c r="R18">
        <v>589</v>
      </c>
      <c r="S18">
        <v>589</v>
      </c>
      <c r="T18">
        <v>157384</v>
      </c>
      <c r="U18">
        <v>1178</v>
      </c>
      <c r="V18">
        <v>158562</v>
      </c>
      <c r="W18">
        <v>19</v>
      </c>
      <c r="X18">
        <v>157384</v>
      </c>
      <c r="Y18">
        <v>1178</v>
      </c>
      <c r="Z18">
        <v>158562</v>
      </c>
      <c r="AA18">
        <v>9828</v>
      </c>
      <c r="AB18">
        <v>9828</v>
      </c>
      <c r="AC18">
        <v>0</v>
      </c>
      <c r="AD18">
        <v>0</v>
      </c>
      <c r="AE18">
        <v>13.563000000000001</v>
      </c>
      <c r="AF18">
        <v>3.6659999999999999</v>
      </c>
      <c r="AG18">
        <v>0.02</v>
      </c>
      <c r="AH18">
        <v>3.6999999999999998E-2</v>
      </c>
      <c r="AI18">
        <v>0.24299999999999999</v>
      </c>
      <c r="AJ18">
        <v>2.7E-2</v>
      </c>
      <c r="AK18">
        <v>0</v>
      </c>
      <c r="AL18">
        <v>0</v>
      </c>
      <c r="AM18">
        <v>2E-3</v>
      </c>
      <c r="AN18">
        <v>2.9830000000000001</v>
      </c>
      <c r="AO18">
        <v>5.1999999999999998E-2</v>
      </c>
      <c r="AP18">
        <v>3.6999999999999998E-2</v>
      </c>
      <c r="AQ18">
        <v>0</v>
      </c>
      <c r="AR18">
        <v>0</v>
      </c>
      <c r="AS18">
        <v>0</v>
      </c>
      <c r="AT18" t="s">
        <v>243</v>
      </c>
      <c r="AU18" t="s">
        <v>243</v>
      </c>
      <c r="AV18" t="s">
        <v>549</v>
      </c>
    </row>
    <row r="19" spans="1:48" ht="16" customHeight="1" x14ac:dyDescent="0.2">
      <c r="A19" t="s">
        <v>560</v>
      </c>
      <c r="B19" t="s">
        <v>564</v>
      </c>
      <c r="C19" t="s">
        <v>548</v>
      </c>
      <c r="D19" t="s">
        <v>174</v>
      </c>
      <c r="E19" t="s">
        <v>175</v>
      </c>
      <c r="F19" t="s">
        <v>176</v>
      </c>
      <c r="G19">
        <v>0.5</v>
      </c>
      <c r="H19">
        <v>8</v>
      </c>
      <c r="I19" t="s">
        <v>177</v>
      </c>
      <c r="J19" t="s">
        <v>178</v>
      </c>
      <c r="K19" t="s">
        <v>179</v>
      </c>
      <c r="L19" t="s">
        <v>180</v>
      </c>
      <c r="M19">
        <v>8457</v>
      </c>
      <c r="N19">
        <v>5.1081943951755943E-2</v>
      </c>
      <c r="O19">
        <v>0.95364238410596025</v>
      </c>
      <c r="P19">
        <v>9.6969696969696956E-2</v>
      </c>
      <c r="Q19">
        <v>18.11</v>
      </c>
      <c r="R19">
        <v>786</v>
      </c>
      <c r="S19">
        <v>786</v>
      </c>
      <c r="T19">
        <v>207929</v>
      </c>
      <c r="U19">
        <v>1572</v>
      </c>
      <c r="V19">
        <v>209501</v>
      </c>
      <c r="W19">
        <v>25</v>
      </c>
      <c r="X19">
        <v>207929</v>
      </c>
      <c r="Y19">
        <v>1572</v>
      </c>
      <c r="Z19">
        <v>209501</v>
      </c>
      <c r="AA19">
        <v>9828</v>
      </c>
      <c r="AB19">
        <v>9828</v>
      </c>
      <c r="AC19">
        <v>0</v>
      </c>
      <c r="AD19">
        <v>0</v>
      </c>
      <c r="AE19">
        <v>14.273</v>
      </c>
      <c r="AF19">
        <v>3.786</v>
      </c>
      <c r="AG19">
        <v>2.1000000000000001E-2</v>
      </c>
      <c r="AH19">
        <v>2.7E-2</v>
      </c>
      <c r="AI19">
        <v>0.29899999999999999</v>
      </c>
      <c r="AJ19">
        <v>2.9000000000000001E-2</v>
      </c>
      <c r="AK19">
        <v>0</v>
      </c>
      <c r="AL19">
        <v>0</v>
      </c>
      <c r="AM19">
        <v>2E-3</v>
      </c>
      <c r="AN19">
        <v>3.0379999999999998</v>
      </c>
      <c r="AO19">
        <v>4.5999999999999999E-2</v>
      </c>
      <c r="AP19">
        <v>2.7E-2</v>
      </c>
      <c r="AQ19">
        <v>0</v>
      </c>
      <c r="AR19">
        <v>0</v>
      </c>
      <c r="AS19">
        <v>0</v>
      </c>
      <c r="AT19" t="s">
        <v>243</v>
      </c>
      <c r="AU19" t="s">
        <v>243</v>
      </c>
      <c r="AV19" t="s">
        <v>549</v>
      </c>
    </row>
    <row r="20" spans="1:48" ht="16" customHeight="1" x14ac:dyDescent="0.2">
      <c r="A20" t="s">
        <v>560</v>
      </c>
      <c r="B20" t="s">
        <v>565</v>
      </c>
      <c r="C20" t="s">
        <v>548</v>
      </c>
      <c r="D20" t="s">
        <v>174</v>
      </c>
      <c r="E20" t="s">
        <v>175</v>
      </c>
      <c r="F20" t="s">
        <v>176</v>
      </c>
      <c r="G20">
        <v>0.5</v>
      </c>
      <c r="H20">
        <v>10</v>
      </c>
      <c r="I20" t="s">
        <v>177</v>
      </c>
      <c r="J20" t="s">
        <v>178</v>
      </c>
      <c r="K20" t="s">
        <v>179</v>
      </c>
      <c r="L20" t="s">
        <v>180</v>
      </c>
      <c r="M20">
        <v>7051</v>
      </c>
      <c r="N20">
        <v>5.8005956601900437E-2</v>
      </c>
      <c r="O20">
        <v>0.90286975717439288</v>
      </c>
      <c r="P20">
        <v>0.1090085287846482</v>
      </c>
      <c r="Q20">
        <v>18.239999999999998</v>
      </c>
      <c r="R20">
        <v>982</v>
      </c>
      <c r="S20">
        <v>982</v>
      </c>
      <c r="T20">
        <v>258488</v>
      </c>
      <c r="U20">
        <v>1964</v>
      </c>
      <c r="V20">
        <v>260452</v>
      </c>
      <c r="W20">
        <v>31</v>
      </c>
      <c r="X20">
        <v>258488</v>
      </c>
      <c r="Y20">
        <v>1964</v>
      </c>
      <c r="Z20">
        <v>260452</v>
      </c>
      <c r="AA20">
        <v>9828</v>
      </c>
      <c r="AB20">
        <v>9828</v>
      </c>
      <c r="AC20">
        <v>0</v>
      </c>
      <c r="AD20">
        <v>0</v>
      </c>
      <c r="AE20">
        <v>14.275</v>
      </c>
      <c r="AF20">
        <v>3.919</v>
      </c>
      <c r="AG20">
        <v>1.2999999999999999E-2</v>
      </c>
      <c r="AH20">
        <v>2.8000000000000001E-2</v>
      </c>
      <c r="AI20">
        <v>0.23899999999999999</v>
      </c>
      <c r="AJ20">
        <v>2.5000000000000001E-2</v>
      </c>
      <c r="AK20">
        <v>0</v>
      </c>
      <c r="AL20">
        <v>0</v>
      </c>
      <c r="AM20">
        <v>3.0000000000000001E-3</v>
      </c>
      <c r="AN20">
        <v>3.2970000000000002</v>
      </c>
      <c r="AO20">
        <v>3.9E-2</v>
      </c>
      <c r="AP20">
        <v>2.8000000000000001E-2</v>
      </c>
      <c r="AQ20">
        <v>0</v>
      </c>
      <c r="AR20">
        <v>0</v>
      </c>
      <c r="AS20">
        <v>0</v>
      </c>
      <c r="AT20" t="s">
        <v>243</v>
      </c>
      <c r="AU20" t="s">
        <v>243</v>
      </c>
      <c r="AV20" t="s">
        <v>549</v>
      </c>
    </row>
    <row r="21" spans="1:48" ht="16" customHeight="1" x14ac:dyDescent="0.2">
      <c r="A21" t="s">
        <v>560</v>
      </c>
      <c r="B21" t="s">
        <v>566</v>
      </c>
      <c r="C21" t="s">
        <v>265</v>
      </c>
      <c r="D21" t="s">
        <v>174</v>
      </c>
      <c r="E21" t="s">
        <v>175</v>
      </c>
      <c r="F21" t="s">
        <v>176</v>
      </c>
      <c r="G21">
        <v>0.5</v>
      </c>
      <c r="H21">
        <v>2</v>
      </c>
      <c r="I21" t="s">
        <v>177</v>
      </c>
      <c r="J21" t="s">
        <v>178</v>
      </c>
      <c r="K21" t="s">
        <v>179</v>
      </c>
      <c r="L21" t="s">
        <v>180</v>
      </c>
      <c r="M21">
        <v>1571</v>
      </c>
      <c r="N21">
        <v>6.8109484404837689E-2</v>
      </c>
      <c r="O21">
        <v>0.23620309050772631</v>
      </c>
      <c r="P21">
        <v>0.1057312252964427</v>
      </c>
      <c r="Q21">
        <v>17.12</v>
      </c>
      <c r="R21">
        <v>196</v>
      </c>
      <c r="S21">
        <v>196</v>
      </c>
      <c r="T21">
        <v>51859</v>
      </c>
      <c r="U21">
        <v>392</v>
      </c>
      <c r="V21">
        <v>52251</v>
      </c>
      <c r="W21">
        <v>10</v>
      </c>
      <c r="X21">
        <v>51859</v>
      </c>
      <c r="Y21">
        <v>392</v>
      </c>
      <c r="Z21">
        <v>52251</v>
      </c>
      <c r="AA21">
        <v>9828</v>
      </c>
      <c r="AB21">
        <v>9828</v>
      </c>
      <c r="AC21">
        <v>0</v>
      </c>
      <c r="AD21">
        <v>0</v>
      </c>
      <c r="AE21">
        <v>13.897</v>
      </c>
      <c r="AF21">
        <v>3.1629999999999998</v>
      </c>
      <c r="AG21">
        <v>7.0000000000000001E-3</v>
      </c>
      <c r="AH21">
        <v>5.1999999999999998E-2</v>
      </c>
      <c r="AI21">
        <v>0.246</v>
      </c>
      <c r="AJ21">
        <v>2.7E-2</v>
      </c>
      <c r="AK21">
        <v>0</v>
      </c>
      <c r="AL21">
        <v>0</v>
      </c>
      <c r="AM21">
        <v>0.32700000000000001</v>
      </c>
      <c r="AN21">
        <v>2.2349999999999999</v>
      </c>
      <c r="AO21">
        <v>3.4000000000000002E-2</v>
      </c>
      <c r="AP21">
        <v>5.1999999999999998E-2</v>
      </c>
      <c r="AQ21">
        <v>0</v>
      </c>
      <c r="AR21">
        <v>0</v>
      </c>
      <c r="AS21">
        <v>0</v>
      </c>
      <c r="AT21" t="s">
        <v>243</v>
      </c>
      <c r="AU21" t="s">
        <v>243</v>
      </c>
      <c r="AV21" t="s">
        <v>549</v>
      </c>
    </row>
    <row r="22" spans="1:48" ht="16" customHeight="1" x14ac:dyDescent="0.2">
      <c r="A22" t="s">
        <v>560</v>
      </c>
      <c r="B22" t="s">
        <v>567</v>
      </c>
      <c r="C22" t="s">
        <v>265</v>
      </c>
      <c r="D22" t="s">
        <v>174</v>
      </c>
      <c r="E22" t="s">
        <v>175</v>
      </c>
      <c r="F22" t="s">
        <v>176</v>
      </c>
      <c r="G22">
        <v>0.5</v>
      </c>
      <c r="H22">
        <v>4</v>
      </c>
      <c r="I22" t="s">
        <v>177</v>
      </c>
      <c r="J22" t="s">
        <v>178</v>
      </c>
      <c r="K22" t="s">
        <v>179</v>
      </c>
      <c r="L22" t="s">
        <v>180</v>
      </c>
      <c r="M22">
        <v>1838</v>
      </c>
      <c r="N22">
        <v>8.1610446137105552E-2</v>
      </c>
      <c r="O22">
        <v>0.33112582781456962</v>
      </c>
      <c r="P22">
        <v>0.13094718463553029</v>
      </c>
      <c r="Q22">
        <v>19.079999999999998</v>
      </c>
      <c r="R22">
        <v>393</v>
      </c>
      <c r="S22">
        <v>393</v>
      </c>
      <c r="T22">
        <v>100473</v>
      </c>
      <c r="U22">
        <v>786</v>
      </c>
      <c r="V22">
        <v>101259</v>
      </c>
      <c r="W22">
        <v>20</v>
      </c>
      <c r="X22">
        <v>100473</v>
      </c>
      <c r="Y22">
        <v>786</v>
      </c>
      <c r="Z22">
        <v>101259</v>
      </c>
      <c r="AA22">
        <v>9828</v>
      </c>
      <c r="AB22">
        <v>9828</v>
      </c>
      <c r="AC22">
        <v>0</v>
      </c>
      <c r="AD22">
        <v>0</v>
      </c>
      <c r="AE22">
        <v>14.189</v>
      </c>
      <c r="AF22">
        <v>4.7809999999999997</v>
      </c>
      <c r="AG22">
        <v>5.8999999999999997E-2</v>
      </c>
      <c r="AH22">
        <v>5.1999999999999998E-2</v>
      </c>
      <c r="AI22">
        <v>0.26200000000000001</v>
      </c>
      <c r="AJ22">
        <v>2.5999999999999999E-2</v>
      </c>
      <c r="AK22">
        <v>0</v>
      </c>
      <c r="AL22">
        <v>0</v>
      </c>
      <c r="AM22">
        <v>0.34200000000000003</v>
      </c>
      <c r="AN22">
        <v>3.806</v>
      </c>
      <c r="AO22">
        <v>2.9000000000000001E-2</v>
      </c>
      <c r="AP22">
        <v>5.1999999999999998E-2</v>
      </c>
      <c r="AQ22">
        <v>0</v>
      </c>
      <c r="AR22">
        <v>0</v>
      </c>
      <c r="AS22">
        <v>0</v>
      </c>
      <c r="AT22" t="s">
        <v>243</v>
      </c>
      <c r="AU22" t="s">
        <v>243</v>
      </c>
      <c r="AV22" t="s">
        <v>549</v>
      </c>
    </row>
    <row r="23" spans="1:48" ht="16" customHeight="1" x14ac:dyDescent="0.2">
      <c r="A23" t="s">
        <v>560</v>
      </c>
      <c r="B23" t="s">
        <v>568</v>
      </c>
      <c r="C23" t="s">
        <v>265</v>
      </c>
      <c r="D23" t="s">
        <v>174</v>
      </c>
      <c r="E23" t="s">
        <v>175</v>
      </c>
      <c r="F23" t="s">
        <v>176</v>
      </c>
      <c r="G23">
        <v>0.5</v>
      </c>
      <c r="H23">
        <v>6</v>
      </c>
      <c r="I23" t="s">
        <v>177</v>
      </c>
      <c r="J23" t="s">
        <v>178</v>
      </c>
      <c r="K23" t="s">
        <v>179</v>
      </c>
      <c r="L23" t="s">
        <v>180</v>
      </c>
      <c r="M23">
        <v>1350</v>
      </c>
      <c r="N23">
        <v>5.9259259259259262E-2</v>
      </c>
      <c r="O23">
        <v>0.17660044150110379</v>
      </c>
      <c r="P23">
        <v>8.8740987243483088E-2</v>
      </c>
      <c r="Q23">
        <v>20.74</v>
      </c>
      <c r="R23">
        <v>589</v>
      </c>
      <c r="S23">
        <v>589</v>
      </c>
      <c r="T23">
        <v>152300</v>
      </c>
      <c r="U23">
        <v>1178</v>
      </c>
      <c r="V23">
        <v>153478</v>
      </c>
      <c r="W23">
        <v>20</v>
      </c>
      <c r="X23">
        <v>152300</v>
      </c>
      <c r="Y23">
        <v>1178</v>
      </c>
      <c r="Z23">
        <v>153478</v>
      </c>
      <c r="AA23">
        <v>9828</v>
      </c>
      <c r="AB23">
        <v>9828</v>
      </c>
      <c r="AC23">
        <v>0</v>
      </c>
      <c r="AD23">
        <v>0</v>
      </c>
      <c r="AE23">
        <v>13.881</v>
      </c>
      <c r="AF23">
        <v>6.8029999999999999</v>
      </c>
      <c r="AG23">
        <v>2.8000000000000001E-2</v>
      </c>
      <c r="AH23">
        <v>3.3000000000000002E-2</v>
      </c>
      <c r="AI23">
        <v>0.28999999999999998</v>
      </c>
      <c r="AJ23">
        <v>2.4E-2</v>
      </c>
      <c r="AK23">
        <v>0</v>
      </c>
      <c r="AL23">
        <v>0</v>
      </c>
      <c r="AM23">
        <v>0.33800000000000002</v>
      </c>
      <c r="AN23">
        <v>5.8280000000000003</v>
      </c>
      <c r="AO23">
        <v>2.5999999999999999E-2</v>
      </c>
      <c r="AP23">
        <v>3.3000000000000002E-2</v>
      </c>
      <c r="AQ23">
        <v>0</v>
      </c>
      <c r="AR23">
        <v>0</v>
      </c>
      <c r="AS23">
        <v>0</v>
      </c>
      <c r="AT23" t="s">
        <v>243</v>
      </c>
      <c r="AU23" t="s">
        <v>243</v>
      </c>
      <c r="AV23" t="s">
        <v>549</v>
      </c>
    </row>
    <row r="24" spans="1:48" ht="16" customHeight="1" x14ac:dyDescent="0.2">
      <c r="A24" t="s">
        <v>560</v>
      </c>
      <c r="B24" t="s">
        <v>569</v>
      </c>
      <c r="C24" t="s">
        <v>265</v>
      </c>
      <c r="D24" t="s">
        <v>174</v>
      </c>
      <c r="E24" t="s">
        <v>175</v>
      </c>
      <c r="F24" t="s">
        <v>176</v>
      </c>
      <c r="G24">
        <v>0.5</v>
      </c>
      <c r="H24">
        <v>8</v>
      </c>
      <c r="I24" t="s">
        <v>177</v>
      </c>
      <c r="J24" t="s">
        <v>178</v>
      </c>
      <c r="K24" t="s">
        <v>179</v>
      </c>
      <c r="L24" t="s">
        <v>180</v>
      </c>
      <c r="M24">
        <v>848</v>
      </c>
      <c r="N24">
        <v>0.1061320754716981</v>
      </c>
      <c r="O24">
        <v>0.19867549668874171</v>
      </c>
      <c r="P24">
        <v>0.13835511145272869</v>
      </c>
      <c r="Q24">
        <v>23.04</v>
      </c>
      <c r="R24">
        <v>786</v>
      </c>
      <c r="S24">
        <v>786</v>
      </c>
      <c r="T24">
        <v>219475</v>
      </c>
      <c r="U24">
        <v>1572</v>
      </c>
      <c r="V24">
        <v>221047</v>
      </c>
      <c r="W24">
        <v>30</v>
      </c>
      <c r="X24">
        <v>219475</v>
      </c>
      <c r="Y24">
        <v>1572</v>
      </c>
      <c r="Z24">
        <v>221047</v>
      </c>
      <c r="AA24">
        <v>9828</v>
      </c>
      <c r="AB24">
        <v>9828</v>
      </c>
      <c r="AC24">
        <v>0</v>
      </c>
      <c r="AD24">
        <v>0</v>
      </c>
      <c r="AE24">
        <v>14.026</v>
      </c>
      <c r="AF24">
        <v>8.9390000000000001</v>
      </c>
      <c r="AG24">
        <v>1.2E-2</v>
      </c>
      <c r="AH24">
        <v>5.8999999999999997E-2</v>
      </c>
      <c r="AI24">
        <v>0.27400000000000002</v>
      </c>
      <c r="AJ24">
        <v>2.5000000000000001E-2</v>
      </c>
      <c r="AK24">
        <v>0</v>
      </c>
      <c r="AL24">
        <v>0</v>
      </c>
      <c r="AM24">
        <v>0.38700000000000001</v>
      </c>
      <c r="AN24">
        <v>7.9050000000000002</v>
      </c>
      <c r="AO24">
        <v>4.9000000000000002E-2</v>
      </c>
      <c r="AP24">
        <v>5.8999999999999997E-2</v>
      </c>
      <c r="AQ24">
        <v>0</v>
      </c>
      <c r="AR24">
        <v>0</v>
      </c>
      <c r="AS24">
        <v>0</v>
      </c>
      <c r="AT24" t="s">
        <v>243</v>
      </c>
      <c r="AU24" t="s">
        <v>243</v>
      </c>
      <c r="AV24" t="s">
        <v>549</v>
      </c>
    </row>
    <row r="25" spans="1:48" x14ac:dyDescent="0.2">
      <c r="A25" t="s">
        <v>560</v>
      </c>
      <c r="B25" t="s">
        <v>570</v>
      </c>
      <c r="C25" t="s">
        <v>265</v>
      </c>
      <c r="D25" t="s">
        <v>174</v>
      </c>
      <c r="E25" t="s">
        <v>175</v>
      </c>
      <c r="F25" t="s">
        <v>176</v>
      </c>
      <c r="G25">
        <v>0.5</v>
      </c>
      <c r="H25">
        <v>10</v>
      </c>
      <c r="I25" t="s">
        <v>177</v>
      </c>
      <c r="J25" t="s">
        <v>178</v>
      </c>
      <c r="K25" t="s">
        <v>179</v>
      </c>
      <c r="L25" t="s">
        <v>180</v>
      </c>
      <c r="M25">
        <v>1687</v>
      </c>
      <c r="N25">
        <v>7.8838174273858919E-2</v>
      </c>
      <c r="O25">
        <v>0.29359823399558499</v>
      </c>
      <c r="P25">
        <v>0.12429906542056079</v>
      </c>
      <c r="Q25">
        <v>22.3</v>
      </c>
      <c r="R25">
        <v>982</v>
      </c>
      <c r="S25">
        <v>982</v>
      </c>
      <c r="T25">
        <v>258787</v>
      </c>
      <c r="U25">
        <v>1964</v>
      </c>
      <c r="V25">
        <v>260751</v>
      </c>
      <c r="W25">
        <v>40</v>
      </c>
      <c r="X25">
        <v>258787</v>
      </c>
      <c r="Y25">
        <v>1964</v>
      </c>
      <c r="Z25">
        <v>260751</v>
      </c>
      <c r="AA25">
        <v>9828</v>
      </c>
      <c r="AB25">
        <v>9828</v>
      </c>
      <c r="AC25">
        <v>0</v>
      </c>
      <c r="AD25">
        <v>0</v>
      </c>
      <c r="AE25">
        <v>13.904999999999999</v>
      </c>
      <c r="AF25">
        <v>8.3490000000000002</v>
      </c>
      <c r="AG25">
        <v>1.7999999999999999E-2</v>
      </c>
      <c r="AH25">
        <v>2.9000000000000001E-2</v>
      </c>
      <c r="AI25">
        <v>0.26400000000000001</v>
      </c>
      <c r="AJ25">
        <v>2.7E-2</v>
      </c>
      <c r="AK25">
        <v>0</v>
      </c>
      <c r="AL25">
        <v>0</v>
      </c>
      <c r="AM25">
        <v>0.41</v>
      </c>
      <c r="AN25">
        <v>7.3470000000000004</v>
      </c>
      <c r="AO25">
        <v>2.1000000000000001E-2</v>
      </c>
      <c r="AP25">
        <v>2.9000000000000001E-2</v>
      </c>
      <c r="AQ25">
        <v>0</v>
      </c>
      <c r="AR25">
        <v>0</v>
      </c>
      <c r="AS25">
        <v>0</v>
      </c>
      <c r="AT25" t="s">
        <v>243</v>
      </c>
      <c r="AU25" t="s">
        <v>243</v>
      </c>
      <c r="AV25" t="s">
        <v>549</v>
      </c>
    </row>
    <row r="26" spans="1:48" x14ac:dyDescent="0.2">
      <c r="A26" t="s">
        <v>40</v>
      </c>
      <c r="B26" t="s">
        <v>571</v>
      </c>
      <c r="C26" t="s">
        <v>548</v>
      </c>
      <c r="D26" t="s">
        <v>174</v>
      </c>
      <c r="E26" t="s">
        <v>175</v>
      </c>
      <c r="F26" t="s">
        <v>176</v>
      </c>
      <c r="G26">
        <v>0.5</v>
      </c>
      <c r="H26">
        <v>2</v>
      </c>
      <c r="I26" t="s">
        <v>177</v>
      </c>
      <c r="J26" t="s">
        <v>178</v>
      </c>
      <c r="K26" t="s">
        <v>179</v>
      </c>
      <c r="L26" t="s">
        <v>180</v>
      </c>
      <c r="M26">
        <v>0</v>
      </c>
      <c r="N26">
        <v>0</v>
      </c>
      <c r="O26">
        <v>0</v>
      </c>
      <c r="P26">
        <v>0</v>
      </c>
      <c r="Q26">
        <v>4.9800000000000004</v>
      </c>
      <c r="R26">
        <v>12</v>
      </c>
      <c r="S26">
        <v>12</v>
      </c>
      <c r="T26">
        <v>19278</v>
      </c>
      <c r="U26">
        <v>24</v>
      </c>
      <c r="V26">
        <v>19302</v>
      </c>
      <c r="W26">
        <v>12</v>
      </c>
      <c r="X26">
        <v>19278</v>
      </c>
      <c r="Y26">
        <v>24</v>
      </c>
      <c r="Z26">
        <v>19302</v>
      </c>
      <c r="AA26">
        <v>638</v>
      </c>
      <c r="AB26">
        <v>638</v>
      </c>
      <c r="AC26">
        <v>0</v>
      </c>
      <c r="AD26">
        <v>0</v>
      </c>
      <c r="AE26">
        <v>6.0000000000000001E-3</v>
      </c>
      <c r="AF26">
        <v>4.9690000000000003</v>
      </c>
      <c r="AG26">
        <v>0</v>
      </c>
      <c r="AH26">
        <v>0</v>
      </c>
      <c r="AI26">
        <v>0.34300000000000003</v>
      </c>
      <c r="AJ26">
        <v>1.5529999999999999</v>
      </c>
      <c r="AK26">
        <v>0</v>
      </c>
      <c r="AL26">
        <v>0</v>
      </c>
      <c r="AM26">
        <v>0</v>
      </c>
      <c r="AN26">
        <v>2.9609999999999999</v>
      </c>
      <c r="AO26">
        <v>1.2999999999999999E-2</v>
      </c>
      <c r="AP26">
        <v>0</v>
      </c>
      <c r="AQ26">
        <v>0</v>
      </c>
      <c r="AR26">
        <v>0</v>
      </c>
      <c r="AS26">
        <v>0</v>
      </c>
      <c r="AT26" t="s">
        <v>243</v>
      </c>
      <c r="AU26" t="s">
        <v>243</v>
      </c>
      <c r="AV26" t="s">
        <v>549</v>
      </c>
    </row>
    <row r="27" spans="1:48" x14ac:dyDescent="0.2">
      <c r="A27" t="s">
        <v>40</v>
      </c>
      <c r="B27" t="s">
        <v>572</v>
      </c>
      <c r="C27" t="s">
        <v>548</v>
      </c>
      <c r="D27" t="s">
        <v>174</v>
      </c>
      <c r="E27" t="s">
        <v>175</v>
      </c>
      <c r="F27" t="s">
        <v>176</v>
      </c>
      <c r="G27">
        <v>0.5</v>
      </c>
      <c r="H27">
        <v>4</v>
      </c>
      <c r="I27" t="s">
        <v>177</v>
      </c>
      <c r="J27" t="s">
        <v>178</v>
      </c>
      <c r="K27" t="s">
        <v>179</v>
      </c>
      <c r="L27" t="s">
        <v>180</v>
      </c>
      <c r="M27">
        <v>1</v>
      </c>
      <c r="N27">
        <v>0</v>
      </c>
      <c r="O27">
        <v>0</v>
      </c>
      <c r="P27">
        <v>0</v>
      </c>
      <c r="Q27">
        <v>5.01</v>
      </c>
      <c r="R27">
        <v>25</v>
      </c>
      <c r="S27">
        <v>25</v>
      </c>
      <c r="T27">
        <v>38773</v>
      </c>
      <c r="U27">
        <v>50</v>
      </c>
      <c r="V27">
        <v>38823</v>
      </c>
      <c r="W27">
        <v>25</v>
      </c>
      <c r="X27">
        <v>38773</v>
      </c>
      <c r="Y27">
        <v>50</v>
      </c>
      <c r="Z27">
        <v>38823</v>
      </c>
      <c r="AA27">
        <v>638</v>
      </c>
      <c r="AB27">
        <v>638</v>
      </c>
      <c r="AC27">
        <v>0</v>
      </c>
      <c r="AD27">
        <v>0</v>
      </c>
      <c r="AE27">
        <v>0</v>
      </c>
      <c r="AF27">
        <v>5</v>
      </c>
      <c r="AG27">
        <v>5.0000000000000001E-3</v>
      </c>
      <c r="AH27">
        <v>2E-3</v>
      </c>
      <c r="AI27">
        <v>0.21099999999999999</v>
      </c>
      <c r="AJ27">
        <v>8.9999999999999993E-3</v>
      </c>
      <c r="AK27">
        <v>0</v>
      </c>
      <c r="AL27">
        <v>0</v>
      </c>
      <c r="AM27">
        <v>0</v>
      </c>
      <c r="AN27">
        <v>4.452</v>
      </c>
      <c r="AO27">
        <v>4.4999999999999998E-2</v>
      </c>
      <c r="AP27">
        <v>2E-3</v>
      </c>
      <c r="AQ27">
        <v>0</v>
      </c>
      <c r="AR27">
        <v>0</v>
      </c>
      <c r="AS27">
        <v>0</v>
      </c>
      <c r="AT27" t="s">
        <v>243</v>
      </c>
      <c r="AU27" t="s">
        <v>243</v>
      </c>
      <c r="AV27" t="s">
        <v>549</v>
      </c>
    </row>
    <row r="28" spans="1:48" x14ac:dyDescent="0.2">
      <c r="A28" t="s">
        <v>40</v>
      </c>
      <c r="B28" t="s">
        <v>573</v>
      </c>
      <c r="C28" t="s">
        <v>548</v>
      </c>
      <c r="D28" t="s">
        <v>174</v>
      </c>
      <c r="E28" t="s">
        <v>175</v>
      </c>
      <c r="F28" t="s">
        <v>176</v>
      </c>
      <c r="G28">
        <v>0.5</v>
      </c>
      <c r="H28">
        <v>6</v>
      </c>
      <c r="I28" t="s">
        <v>177</v>
      </c>
      <c r="J28" t="s">
        <v>178</v>
      </c>
      <c r="K28" t="s">
        <v>179</v>
      </c>
      <c r="L28" t="s">
        <v>180</v>
      </c>
      <c r="M28">
        <v>1</v>
      </c>
      <c r="N28">
        <v>0</v>
      </c>
      <c r="O28">
        <v>0</v>
      </c>
      <c r="P28">
        <v>0</v>
      </c>
      <c r="Q28">
        <v>7.54</v>
      </c>
      <c r="R28">
        <v>38</v>
      </c>
      <c r="S28">
        <v>38</v>
      </c>
      <c r="T28">
        <v>64567</v>
      </c>
      <c r="U28">
        <v>76</v>
      </c>
      <c r="V28">
        <v>64643</v>
      </c>
      <c r="W28">
        <v>38</v>
      </c>
      <c r="X28">
        <v>64567</v>
      </c>
      <c r="Y28">
        <v>76</v>
      </c>
      <c r="Z28">
        <v>64643</v>
      </c>
      <c r="AA28">
        <v>638</v>
      </c>
      <c r="AB28">
        <v>638</v>
      </c>
      <c r="AC28">
        <v>0</v>
      </c>
      <c r="AD28">
        <v>0</v>
      </c>
      <c r="AE28">
        <v>0</v>
      </c>
      <c r="AF28">
        <v>7.5220000000000002</v>
      </c>
      <c r="AG28">
        <v>6.0000000000000001E-3</v>
      </c>
      <c r="AH28">
        <v>7.0000000000000001E-3</v>
      </c>
      <c r="AI28">
        <v>0.20499999999999999</v>
      </c>
      <c r="AJ28">
        <v>0.01</v>
      </c>
      <c r="AK28">
        <v>0</v>
      </c>
      <c r="AL28">
        <v>0</v>
      </c>
      <c r="AM28">
        <v>0</v>
      </c>
      <c r="AN28">
        <v>7.0090000000000003</v>
      </c>
      <c r="AO28">
        <v>4.1000000000000002E-2</v>
      </c>
      <c r="AP28">
        <v>7.0000000000000001E-3</v>
      </c>
      <c r="AQ28">
        <v>0</v>
      </c>
      <c r="AR28">
        <v>0</v>
      </c>
      <c r="AS28">
        <v>0</v>
      </c>
      <c r="AT28" t="s">
        <v>243</v>
      </c>
      <c r="AU28" t="s">
        <v>243</v>
      </c>
      <c r="AV28" t="s">
        <v>549</v>
      </c>
    </row>
    <row r="29" spans="1:48" ht="16" customHeight="1" x14ac:dyDescent="0.2">
      <c r="A29" t="s">
        <v>40</v>
      </c>
      <c r="B29" t="s">
        <v>574</v>
      </c>
      <c r="C29" t="s">
        <v>548</v>
      </c>
      <c r="D29" t="s">
        <v>174</v>
      </c>
      <c r="E29" t="s">
        <v>175</v>
      </c>
      <c r="F29" t="s">
        <v>176</v>
      </c>
      <c r="G29">
        <v>0.5</v>
      </c>
      <c r="H29">
        <v>8</v>
      </c>
      <c r="I29" t="s">
        <v>177</v>
      </c>
      <c r="J29" t="s">
        <v>178</v>
      </c>
      <c r="K29" t="s">
        <v>179</v>
      </c>
      <c r="L29" t="s">
        <v>180</v>
      </c>
      <c r="M29">
        <v>384</v>
      </c>
      <c r="N29">
        <v>0.88541666666666663</v>
      </c>
      <c r="O29">
        <v>0.99706744868035191</v>
      </c>
      <c r="P29">
        <v>0.93793103448275872</v>
      </c>
      <c r="Q29">
        <v>8.84</v>
      </c>
      <c r="R29">
        <v>51</v>
      </c>
      <c r="S29">
        <v>51</v>
      </c>
      <c r="T29">
        <v>84981</v>
      </c>
      <c r="U29">
        <v>102</v>
      </c>
      <c r="V29">
        <v>85083</v>
      </c>
      <c r="W29">
        <v>51</v>
      </c>
      <c r="X29">
        <v>84981</v>
      </c>
      <c r="Y29">
        <v>102</v>
      </c>
      <c r="Z29">
        <v>85083</v>
      </c>
      <c r="AA29">
        <v>638</v>
      </c>
      <c r="AB29">
        <v>638</v>
      </c>
      <c r="AC29">
        <v>0</v>
      </c>
      <c r="AD29">
        <v>0</v>
      </c>
      <c r="AE29">
        <v>0</v>
      </c>
      <c r="AF29">
        <v>8.827</v>
      </c>
      <c r="AG29">
        <v>1.2999999999999999E-2</v>
      </c>
      <c r="AH29">
        <v>4.0000000000000001E-3</v>
      </c>
      <c r="AI29">
        <v>0.187</v>
      </c>
      <c r="AJ29">
        <v>1.0999999999999999E-2</v>
      </c>
      <c r="AK29">
        <v>0</v>
      </c>
      <c r="AL29">
        <v>0</v>
      </c>
      <c r="AM29">
        <v>0</v>
      </c>
      <c r="AN29">
        <v>8.3209999999999997</v>
      </c>
      <c r="AO29">
        <v>3.5000000000000003E-2</v>
      </c>
      <c r="AP29">
        <v>4.0000000000000001E-3</v>
      </c>
      <c r="AQ29">
        <v>0</v>
      </c>
      <c r="AR29">
        <v>0</v>
      </c>
      <c r="AS29">
        <v>0</v>
      </c>
      <c r="AT29" t="s">
        <v>243</v>
      </c>
      <c r="AU29" t="s">
        <v>243</v>
      </c>
      <c r="AV29" t="s">
        <v>549</v>
      </c>
    </row>
    <row r="30" spans="1:48" ht="16" customHeight="1" x14ac:dyDescent="0.2">
      <c r="A30" t="s">
        <v>40</v>
      </c>
      <c r="B30" t="s">
        <v>575</v>
      </c>
      <c r="C30" t="s">
        <v>548</v>
      </c>
      <c r="D30" t="s">
        <v>174</v>
      </c>
      <c r="E30" t="s">
        <v>175</v>
      </c>
      <c r="F30" t="s">
        <v>176</v>
      </c>
      <c r="G30">
        <v>0.5</v>
      </c>
      <c r="H30">
        <v>10</v>
      </c>
      <c r="I30" t="s">
        <v>177</v>
      </c>
      <c r="J30" t="s">
        <v>178</v>
      </c>
      <c r="K30" t="s">
        <v>179</v>
      </c>
      <c r="L30" t="s">
        <v>180</v>
      </c>
      <c r="M30">
        <v>381</v>
      </c>
      <c r="N30">
        <v>0.8923884514435696</v>
      </c>
      <c r="O30">
        <v>0.99706744868035191</v>
      </c>
      <c r="P30">
        <v>0.94182825484764554</v>
      </c>
      <c r="Q30">
        <v>11.38</v>
      </c>
      <c r="R30">
        <v>63</v>
      </c>
      <c r="S30">
        <v>63</v>
      </c>
      <c r="T30">
        <v>108917</v>
      </c>
      <c r="U30">
        <v>126</v>
      </c>
      <c r="V30">
        <v>109043</v>
      </c>
      <c r="W30">
        <v>63</v>
      </c>
      <c r="X30">
        <v>108917</v>
      </c>
      <c r="Y30">
        <v>126</v>
      </c>
      <c r="Z30">
        <v>109043</v>
      </c>
      <c r="AA30">
        <v>638</v>
      </c>
      <c r="AB30">
        <v>638</v>
      </c>
      <c r="AC30">
        <v>0</v>
      </c>
      <c r="AD30">
        <v>0</v>
      </c>
      <c r="AE30">
        <v>0</v>
      </c>
      <c r="AF30">
        <v>11.368</v>
      </c>
      <c r="AG30">
        <v>8.0000000000000002E-3</v>
      </c>
      <c r="AH30">
        <v>3.0000000000000001E-3</v>
      </c>
      <c r="AI30">
        <v>0.193</v>
      </c>
      <c r="AJ30">
        <v>1.7999999999999999E-2</v>
      </c>
      <c r="AK30">
        <v>0</v>
      </c>
      <c r="AL30">
        <v>0</v>
      </c>
      <c r="AM30">
        <v>0</v>
      </c>
      <c r="AN30">
        <v>10.824</v>
      </c>
      <c r="AO30">
        <v>9.1999999999999998E-2</v>
      </c>
      <c r="AP30">
        <v>3.0000000000000001E-3</v>
      </c>
      <c r="AQ30">
        <v>0</v>
      </c>
      <c r="AR30">
        <v>0</v>
      </c>
      <c r="AS30">
        <v>0</v>
      </c>
      <c r="AT30" t="s">
        <v>243</v>
      </c>
      <c r="AU30" t="s">
        <v>243</v>
      </c>
      <c r="AV30" t="s">
        <v>549</v>
      </c>
    </row>
    <row r="31" spans="1:48" ht="16" customHeight="1" x14ac:dyDescent="0.2">
      <c r="A31" t="s">
        <v>40</v>
      </c>
      <c r="B31" t="s">
        <v>576</v>
      </c>
      <c r="C31" t="s">
        <v>265</v>
      </c>
      <c r="D31" t="s">
        <v>174</v>
      </c>
      <c r="E31" t="s">
        <v>175</v>
      </c>
      <c r="F31" t="s">
        <v>176</v>
      </c>
      <c r="G31">
        <v>0.5</v>
      </c>
      <c r="H31">
        <v>2</v>
      </c>
      <c r="I31" t="s">
        <v>177</v>
      </c>
      <c r="J31" t="s">
        <v>178</v>
      </c>
      <c r="K31" t="s">
        <v>179</v>
      </c>
      <c r="L31" t="s">
        <v>180</v>
      </c>
      <c r="M31">
        <v>360</v>
      </c>
      <c r="N31">
        <v>0.94722222222222219</v>
      </c>
      <c r="O31">
        <v>1</v>
      </c>
      <c r="P31">
        <v>0.97289586305278175</v>
      </c>
      <c r="Q31">
        <v>2.57</v>
      </c>
      <c r="R31">
        <v>15</v>
      </c>
      <c r="S31">
        <v>15</v>
      </c>
      <c r="T31">
        <v>9548</v>
      </c>
      <c r="U31">
        <v>30</v>
      </c>
      <c r="V31">
        <v>9578</v>
      </c>
      <c r="W31">
        <v>15</v>
      </c>
      <c r="X31">
        <v>9548</v>
      </c>
      <c r="Y31">
        <v>30</v>
      </c>
      <c r="Z31">
        <v>9578</v>
      </c>
      <c r="AA31">
        <v>638</v>
      </c>
      <c r="AB31">
        <v>638</v>
      </c>
      <c r="AC31">
        <v>0</v>
      </c>
      <c r="AD31">
        <v>0</v>
      </c>
      <c r="AE31">
        <v>0</v>
      </c>
      <c r="AF31">
        <v>2.5649999999999999</v>
      </c>
      <c r="AG31">
        <v>3.0000000000000001E-3</v>
      </c>
      <c r="AH31">
        <v>2E-3</v>
      </c>
      <c r="AI31">
        <v>0.20599999999999999</v>
      </c>
      <c r="AJ31">
        <v>1.0999999999999999E-2</v>
      </c>
      <c r="AK31">
        <v>0</v>
      </c>
      <c r="AL31">
        <v>0</v>
      </c>
      <c r="AM31">
        <v>0.01</v>
      </c>
      <c r="AN31">
        <v>2.089</v>
      </c>
      <c r="AO31">
        <v>2.1000000000000001E-2</v>
      </c>
      <c r="AP31">
        <v>2E-3</v>
      </c>
      <c r="AQ31">
        <v>0</v>
      </c>
      <c r="AR31">
        <v>0</v>
      </c>
      <c r="AS31">
        <v>0</v>
      </c>
      <c r="AT31" t="s">
        <v>243</v>
      </c>
      <c r="AU31" t="s">
        <v>243</v>
      </c>
      <c r="AV31" t="s">
        <v>549</v>
      </c>
    </row>
    <row r="32" spans="1:48" ht="16" customHeight="1" x14ac:dyDescent="0.2">
      <c r="A32" t="s">
        <v>40</v>
      </c>
      <c r="B32" t="s">
        <v>577</v>
      </c>
      <c r="C32" t="s">
        <v>265</v>
      </c>
      <c r="D32" t="s">
        <v>174</v>
      </c>
      <c r="E32" t="s">
        <v>175</v>
      </c>
      <c r="F32" t="s">
        <v>176</v>
      </c>
      <c r="G32">
        <v>0.5</v>
      </c>
      <c r="H32">
        <v>4</v>
      </c>
      <c r="I32" t="s">
        <v>177</v>
      </c>
      <c r="J32" t="s">
        <v>178</v>
      </c>
      <c r="K32" t="s">
        <v>179</v>
      </c>
      <c r="L32" t="s">
        <v>180</v>
      </c>
      <c r="M32">
        <v>378</v>
      </c>
      <c r="N32">
        <v>0.90211640211640209</v>
      </c>
      <c r="O32">
        <v>1</v>
      </c>
      <c r="P32">
        <v>0.94853963838664812</v>
      </c>
      <c r="Q32">
        <v>3.76</v>
      </c>
      <c r="R32">
        <v>25</v>
      </c>
      <c r="S32">
        <v>25</v>
      </c>
      <c r="T32">
        <v>18550</v>
      </c>
      <c r="U32">
        <v>50</v>
      </c>
      <c r="V32">
        <v>18600</v>
      </c>
      <c r="W32">
        <v>25</v>
      </c>
      <c r="X32">
        <v>18550</v>
      </c>
      <c r="Y32">
        <v>50</v>
      </c>
      <c r="Z32">
        <v>18600</v>
      </c>
      <c r="AA32">
        <v>638</v>
      </c>
      <c r="AB32">
        <v>638</v>
      </c>
      <c r="AC32">
        <v>0</v>
      </c>
      <c r="AD32">
        <v>0</v>
      </c>
      <c r="AE32">
        <v>0</v>
      </c>
      <c r="AF32">
        <v>3.75</v>
      </c>
      <c r="AG32">
        <v>8.0000000000000002E-3</v>
      </c>
      <c r="AH32">
        <v>2E-3</v>
      </c>
      <c r="AI32">
        <v>0.14399999999999999</v>
      </c>
      <c r="AJ32">
        <v>8.0000000000000002E-3</v>
      </c>
      <c r="AK32">
        <v>0</v>
      </c>
      <c r="AL32">
        <v>0</v>
      </c>
      <c r="AM32">
        <v>1.4E-2</v>
      </c>
      <c r="AN32">
        <v>3.3069999999999999</v>
      </c>
      <c r="AO32">
        <v>6.4000000000000001E-2</v>
      </c>
      <c r="AP32">
        <v>2E-3</v>
      </c>
      <c r="AQ32">
        <v>0</v>
      </c>
      <c r="AR32">
        <v>0</v>
      </c>
      <c r="AS32">
        <v>0</v>
      </c>
      <c r="AT32" t="s">
        <v>243</v>
      </c>
      <c r="AU32" t="s">
        <v>243</v>
      </c>
      <c r="AV32" t="s">
        <v>549</v>
      </c>
    </row>
    <row r="33" spans="1:108" ht="16" customHeight="1" x14ac:dyDescent="0.2">
      <c r="A33" t="s">
        <v>40</v>
      </c>
      <c r="B33" t="s">
        <v>578</v>
      </c>
      <c r="C33" t="s">
        <v>265</v>
      </c>
      <c r="D33" t="s">
        <v>174</v>
      </c>
      <c r="E33" t="s">
        <v>175</v>
      </c>
      <c r="F33" t="s">
        <v>176</v>
      </c>
      <c r="G33">
        <v>0.5</v>
      </c>
      <c r="H33">
        <v>6</v>
      </c>
      <c r="I33" t="s">
        <v>177</v>
      </c>
      <c r="J33" t="s">
        <v>178</v>
      </c>
      <c r="K33" t="s">
        <v>179</v>
      </c>
      <c r="L33" t="s">
        <v>180</v>
      </c>
      <c r="M33">
        <v>366</v>
      </c>
      <c r="N33">
        <v>0.93169398907103829</v>
      </c>
      <c r="O33">
        <v>1</v>
      </c>
      <c r="P33">
        <v>0.96463932107496464</v>
      </c>
      <c r="Q33">
        <v>4.72</v>
      </c>
      <c r="R33">
        <v>38</v>
      </c>
      <c r="S33">
        <v>38</v>
      </c>
      <c r="T33">
        <v>26306</v>
      </c>
      <c r="U33">
        <v>76</v>
      </c>
      <c r="V33">
        <v>26382</v>
      </c>
      <c r="W33">
        <v>38</v>
      </c>
      <c r="X33">
        <v>26306</v>
      </c>
      <c r="Y33">
        <v>76</v>
      </c>
      <c r="Z33">
        <v>26382</v>
      </c>
      <c r="AA33">
        <v>638</v>
      </c>
      <c r="AB33">
        <v>638</v>
      </c>
      <c r="AC33">
        <v>0</v>
      </c>
      <c r="AD33">
        <v>0</v>
      </c>
      <c r="AE33">
        <v>0</v>
      </c>
      <c r="AF33">
        <v>4.7119999999999997</v>
      </c>
      <c r="AG33">
        <v>6.0000000000000001E-3</v>
      </c>
      <c r="AH33">
        <v>3.0000000000000001E-3</v>
      </c>
      <c r="AI33">
        <v>0.17199999999999999</v>
      </c>
      <c r="AJ33">
        <v>1.0999999999999999E-2</v>
      </c>
      <c r="AK33">
        <v>0</v>
      </c>
      <c r="AL33">
        <v>0</v>
      </c>
      <c r="AM33">
        <v>2.5000000000000001E-2</v>
      </c>
      <c r="AN33">
        <v>4.2359999999999998</v>
      </c>
      <c r="AO33">
        <v>8.7999999999999995E-2</v>
      </c>
      <c r="AP33">
        <v>3.0000000000000001E-3</v>
      </c>
      <c r="AQ33">
        <v>0</v>
      </c>
      <c r="AR33">
        <v>0</v>
      </c>
      <c r="AS33">
        <v>0</v>
      </c>
      <c r="AT33" t="s">
        <v>243</v>
      </c>
      <c r="AU33" t="s">
        <v>243</v>
      </c>
      <c r="AV33" t="s">
        <v>549</v>
      </c>
    </row>
    <row r="34" spans="1:108" ht="16" customHeight="1" x14ac:dyDescent="0.2">
      <c r="A34" t="s">
        <v>40</v>
      </c>
      <c r="B34" t="s">
        <v>579</v>
      </c>
      <c r="C34" t="s">
        <v>265</v>
      </c>
      <c r="D34" t="s">
        <v>174</v>
      </c>
      <c r="E34" t="s">
        <v>175</v>
      </c>
      <c r="F34" t="s">
        <v>176</v>
      </c>
      <c r="G34">
        <v>0.5</v>
      </c>
      <c r="H34">
        <v>8</v>
      </c>
      <c r="I34" t="s">
        <v>177</v>
      </c>
      <c r="J34" t="s">
        <v>178</v>
      </c>
      <c r="K34" t="s">
        <v>179</v>
      </c>
      <c r="L34" t="s">
        <v>180</v>
      </c>
      <c r="M34">
        <v>367</v>
      </c>
      <c r="N34">
        <v>0.92915531335149859</v>
      </c>
      <c r="O34">
        <v>1</v>
      </c>
      <c r="P34">
        <v>0.96327683615819204</v>
      </c>
      <c r="Q34">
        <v>6.47</v>
      </c>
      <c r="R34">
        <v>51</v>
      </c>
      <c r="S34">
        <v>51</v>
      </c>
      <c r="T34">
        <v>39267</v>
      </c>
      <c r="U34">
        <v>102</v>
      </c>
      <c r="V34">
        <v>39369</v>
      </c>
      <c r="W34">
        <v>51</v>
      </c>
      <c r="X34">
        <v>39267</v>
      </c>
      <c r="Y34">
        <v>102</v>
      </c>
      <c r="Z34">
        <v>39369</v>
      </c>
      <c r="AA34">
        <v>638</v>
      </c>
      <c r="AB34">
        <v>638</v>
      </c>
      <c r="AC34">
        <v>0</v>
      </c>
      <c r="AD34">
        <v>0</v>
      </c>
      <c r="AE34">
        <v>0</v>
      </c>
      <c r="AF34">
        <v>6.4560000000000004</v>
      </c>
      <c r="AG34">
        <v>8.0000000000000002E-3</v>
      </c>
      <c r="AH34">
        <v>2E-3</v>
      </c>
      <c r="AI34">
        <v>0.161</v>
      </c>
      <c r="AJ34">
        <v>1.7999999999999999E-2</v>
      </c>
      <c r="AK34">
        <v>0</v>
      </c>
      <c r="AL34">
        <v>0</v>
      </c>
      <c r="AM34">
        <v>3.9E-2</v>
      </c>
      <c r="AN34">
        <v>5.915</v>
      </c>
      <c r="AO34">
        <v>0.16300000000000001</v>
      </c>
      <c r="AP34">
        <v>2E-3</v>
      </c>
      <c r="AQ34">
        <v>0</v>
      </c>
      <c r="AR34">
        <v>0</v>
      </c>
      <c r="AS34">
        <v>0</v>
      </c>
      <c r="AT34" t="s">
        <v>243</v>
      </c>
      <c r="AU34" t="s">
        <v>243</v>
      </c>
      <c r="AV34" t="s">
        <v>549</v>
      </c>
    </row>
    <row r="35" spans="1:108" ht="16" customHeight="1" x14ac:dyDescent="0.2">
      <c r="A35" t="s">
        <v>40</v>
      </c>
      <c r="B35" t="s">
        <v>580</v>
      </c>
      <c r="C35" t="s">
        <v>265</v>
      </c>
      <c r="D35" t="s">
        <v>174</v>
      </c>
      <c r="E35" t="s">
        <v>175</v>
      </c>
      <c r="F35" t="s">
        <v>176</v>
      </c>
      <c r="G35">
        <v>0.5</v>
      </c>
      <c r="H35">
        <v>10</v>
      </c>
      <c r="I35" t="s">
        <v>177</v>
      </c>
      <c r="J35" t="s">
        <v>178</v>
      </c>
      <c r="K35" t="s">
        <v>179</v>
      </c>
      <c r="L35" t="s">
        <v>180</v>
      </c>
      <c r="M35">
        <v>357</v>
      </c>
      <c r="N35">
        <v>0.9551820728291317</v>
      </c>
      <c r="O35">
        <v>1</v>
      </c>
      <c r="P35">
        <v>0.97707736389684807</v>
      </c>
      <c r="Q35">
        <v>10.6</v>
      </c>
      <c r="R35">
        <v>63</v>
      </c>
      <c r="S35">
        <v>63</v>
      </c>
      <c r="T35">
        <v>72285</v>
      </c>
      <c r="U35">
        <v>126</v>
      </c>
      <c r="V35">
        <v>72411</v>
      </c>
      <c r="W35">
        <v>63</v>
      </c>
      <c r="X35">
        <v>72285</v>
      </c>
      <c r="Y35">
        <v>126</v>
      </c>
      <c r="Z35">
        <v>72411</v>
      </c>
      <c r="AA35">
        <v>638</v>
      </c>
      <c r="AB35">
        <v>638</v>
      </c>
      <c r="AC35">
        <v>0</v>
      </c>
      <c r="AD35">
        <v>0</v>
      </c>
      <c r="AE35">
        <v>0</v>
      </c>
      <c r="AF35">
        <v>10.59</v>
      </c>
      <c r="AG35">
        <v>8.0000000000000002E-3</v>
      </c>
      <c r="AH35">
        <v>3.0000000000000001E-3</v>
      </c>
      <c r="AI35">
        <v>0.161</v>
      </c>
      <c r="AJ35">
        <v>1.0999999999999999E-2</v>
      </c>
      <c r="AK35">
        <v>0</v>
      </c>
      <c r="AL35">
        <v>0</v>
      </c>
      <c r="AM35">
        <v>4.2000000000000003E-2</v>
      </c>
      <c r="AN35">
        <v>10.06</v>
      </c>
      <c r="AO35">
        <v>3.6999999999999998E-2</v>
      </c>
      <c r="AP35">
        <v>3.0000000000000001E-3</v>
      </c>
      <c r="AQ35">
        <v>0</v>
      </c>
      <c r="AR35">
        <v>0</v>
      </c>
      <c r="AS35">
        <v>0</v>
      </c>
      <c r="AT35" t="s">
        <v>243</v>
      </c>
      <c r="AU35" t="s">
        <v>243</v>
      </c>
      <c r="AV35" t="s">
        <v>549</v>
      </c>
    </row>
    <row r="36" spans="1:108" ht="16" customHeight="1" x14ac:dyDescent="0.2">
      <c r="A36" t="s">
        <v>41</v>
      </c>
      <c r="B36" t="s">
        <v>581</v>
      </c>
      <c r="C36" t="s">
        <v>548</v>
      </c>
      <c r="D36" t="s">
        <v>174</v>
      </c>
      <c r="E36" t="s">
        <v>175</v>
      </c>
      <c r="F36" t="s">
        <v>176</v>
      </c>
      <c r="G36">
        <v>0.5</v>
      </c>
      <c r="H36">
        <v>2</v>
      </c>
      <c r="I36" t="s">
        <v>177</v>
      </c>
      <c r="J36" t="s">
        <v>178</v>
      </c>
      <c r="K36" t="s">
        <v>179</v>
      </c>
      <c r="L36" t="s">
        <v>180</v>
      </c>
      <c r="M36">
        <v>7532</v>
      </c>
      <c r="N36">
        <v>0.98085485087592139</v>
      </c>
      <c r="O36">
        <v>0.98085485087592139</v>
      </c>
      <c r="P36">
        <v>0.98085485087592139</v>
      </c>
      <c r="Q36">
        <v>19.09</v>
      </c>
      <c r="R36">
        <v>196</v>
      </c>
      <c r="S36">
        <v>196</v>
      </c>
      <c r="T36">
        <v>52219</v>
      </c>
      <c r="U36">
        <v>392</v>
      </c>
      <c r="V36">
        <v>52611</v>
      </c>
      <c r="W36">
        <v>7</v>
      </c>
      <c r="X36">
        <v>52219</v>
      </c>
      <c r="Y36">
        <v>392</v>
      </c>
      <c r="Z36">
        <v>52611</v>
      </c>
      <c r="AA36">
        <v>9828</v>
      </c>
      <c r="AB36">
        <v>9828</v>
      </c>
      <c r="AC36">
        <v>0</v>
      </c>
      <c r="AD36">
        <v>0</v>
      </c>
      <c r="AE36">
        <v>15.962</v>
      </c>
      <c r="AF36">
        <v>3.085</v>
      </c>
      <c r="AG36">
        <v>1.7999999999999999E-2</v>
      </c>
      <c r="AH36">
        <v>2.5999999999999999E-2</v>
      </c>
      <c r="AI36">
        <v>0.217</v>
      </c>
      <c r="AJ36">
        <v>0.03</v>
      </c>
      <c r="AK36">
        <v>0</v>
      </c>
      <c r="AL36">
        <v>0</v>
      </c>
      <c r="AM36">
        <v>1E-3</v>
      </c>
      <c r="AN36">
        <v>2.5139999999999998</v>
      </c>
      <c r="AO36">
        <v>5.2999999999999999E-2</v>
      </c>
      <c r="AP36">
        <v>2.5999999999999999E-2</v>
      </c>
      <c r="AQ36">
        <v>0</v>
      </c>
      <c r="AR36">
        <v>0</v>
      </c>
      <c r="AS36">
        <v>0</v>
      </c>
      <c r="AT36" t="s">
        <v>243</v>
      </c>
      <c r="AU36" t="s">
        <v>243</v>
      </c>
      <c r="AV36" t="s">
        <v>549</v>
      </c>
      <c r="CY36">
        <v>7532</v>
      </c>
      <c r="CZ36">
        <v>13.469596388741371</v>
      </c>
      <c r="DA36">
        <v>13.73250728862968</v>
      </c>
      <c r="DB36">
        <v>0.26291089988831118</v>
      </c>
      <c r="DC36">
        <v>1.9145149124078581E-2</v>
      </c>
      <c r="DD36">
        <v>1.914514912407858</v>
      </c>
    </row>
    <row r="37" spans="1:108" ht="16" customHeight="1" x14ac:dyDescent="0.2">
      <c r="A37" t="s">
        <v>41</v>
      </c>
      <c r="B37" t="s">
        <v>582</v>
      </c>
      <c r="C37" t="s">
        <v>548</v>
      </c>
      <c r="D37" t="s">
        <v>174</v>
      </c>
      <c r="E37" t="s">
        <v>175</v>
      </c>
      <c r="F37" t="s">
        <v>176</v>
      </c>
      <c r="G37">
        <v>0.5</v>
      </c>
      <c r="H37">
        <v>4</v>
      </c>
      <c r="I37" t="s">
        <v>177</v>
      </c>
      <c r="J37" t="s">
        <v>178</v>
      </c>
      <c r="K37" t="s">
        <v>179</v>
      </c>
      <c r="L37" t="s">
        <v>180</v>
      </c>
      <c r="M37">
        <v>7906</v>
      </c>
      <c r="N37">
        <v>0.97965166391099234</v>
      </c>
      <c r="O37">
        <v>0.97965166391099234</v>
      </c>
      <c r="P37">
        <v>0.97965166391099234</v>
      </c>
      <c r="Q37">
        <v>17.36</v>
      </c>
      <c r="R37">
        <v>393</v>
      </c>
      <c r="S37">
        <v>393</v>
      </c>
      <c r="T37">
        <v>103928</v>
      </c>
      <c r="U37">
        <v>786</v>
      </c>
      <c r="V37">
        <v>104714</v>
      </c>
      <c r="W37">
        <v>13</v>
      </c>
      <c r="X37">
        <v>103928</v>
      </c>
      <c r="Y37">
        <v>786</v>
      </c>
      <c r="Z37">
        <v>104714</v>
      </c>
      <c r="AA37">
        <v>9828</v>
      </c>
      <c r="AB37">
        <v>9828</v>
      </c>
      <c r="AC37">
        <v>0</v>
      </c>
      <c r="AD37">
        <v>0</v>
      </c>
      <c r="AE37">
        <v>14.106999999999999</v>
      </c>
      <c r="AF37">
        <v>3.1230000000000002</v>
      </c>
      <c r="AG37">
        <v>2.1000000000000001E-2</v>
      </c>
      <c r="AH37">
        <v>0.106</v>
      </c>
      <c r="AI37">
        <v>0.222</v>
      </c>
      <c r="AJ37">
        <v>0.03</v>
      </c>
      <c r="AK37">
        <v>0</v>
      </c>
      <c r="AL37">
        <v>0</v>
      </c>
      <c r="AM37">
        <v>1E-3</v>
      </c>
      <c r="AN37">
        <v>2.59</v>
      </c>
      <c r="AO37">
        <v>0.126</v>
      </c>
      <c r="AP37">
        <v>0.106</v>
      </c>
      <c r="AQ37">
        <v>0</v>
      </c>
      <c r="AR37">
        <v>0</v>
      </c>
      <c r="AS37">
        <v>0</v>
      </c>
      <c r="AT37" t="s">
        <v>243</v>
      </c>
      <c r="AU37" t="s">
        <v>243</v>
      </c>
      <c r="AV37" t="s">
        <v>549</v>
      </c>
      <c r="CY37">
        <v>7906</v>
      </c>
      <c r="CZ37">
        <v>13.45307361497589</v>
      </c>
      <c r="DA37">
        <v>13.73250728862968</v>
      </c>
      <c r="DB37">
        <v>0.27943367365378441</v>
      </c>
      <c r="DC37">
        <v>2.0348336089007692E-2</v>
      </c>
      <c r="DD37">
        <v>2.0348336089007688</v>
      </c>
    </row>
    <row r="38" spans="1:108" ht="16" customHeight="1" x14ac:dyDescent="0.2">
      <c r="A38" t="s">
        <v>41</v>
      </c>
      <c r="B38" t="s">
        <v>583</v>
      </c>
      <c r="C38" t="s">
        <v>548</v>
      </c>
      <c r="D38" t="s">
        <v>174</v>
      </c>
      <c r="E38" t="s">
        <v>175</v>
      </c>
      <c r="F38" t="s">
        <v>176</v>
      </c>
      <c r="G38">
        <v>0.5</v>
      </c>
      <c r="H38">
        <v>6</v>
      </c>
      <c r="I38" t="s">
        <v>177</v>
      </c>
      <c r="J38" t="s">
        <v>178</v>
      </c>
      <c r="K38" t="s">
        <v>179</v>
      </c>
      <c r="L38" t="s">
        <v>180</v>
      </c>
      <c r="M38">
        <v>7881</v>
      </c>
      <c r="N38">
        <v>0.98054171748714225</v>
      </c>
      <c r="O38">
        <v>0.98054171748714225</v>
      </c>
      <c r="P38">
        <v>0.98054171748714225</v>
      </c>
      <c r="Q38">
        <v>17.52</v>
      </c>
      <c r="R38">
        <v>589</v>
      </c>
      <c r="S38">
        <v>589</v>
      </c>
      <c r="T38">
        <v>154742</v>
      </c>
      <c r="U38">
        <v>1178</v>
      </c>
      <c r="V38">
        <v>155920</v>
      </c>
      <c r="W38">
        <v>19</v>
      </c>
      <c r="X38">
        <v>154742</v>
      </c>
      <c r="Y38">
        <v>1178</v>
      </c>
      <c r="Z38">
        <v>155920</v>
      </c>
      <c r="AA38">
        <v>9828</v>
      </c>
      <c r="AB38">
        <v>9828</v>
      </c>
      <c r="AC38">
        <v>0</v>
      </c>
      <c r="AD38">
        <v>0</v>
      </c>
      <c r="AE38">
        <v>14.208</v>
      </c>
      <c r="AF38">
        <v>3.2639999999999998</v>
      </c>
      <c r="AG38">
        <v>1.2E-2</v>
      </c>
      <c r="AH38">
        <v>3.2000000000000001E-2</v>
      </c>
      <c r="AI38">
        <v>0.215</v>
      </c>
      <c r="AJ38">
        <v>2.9000000000000001E-2</v>
      </c>
      <c r="AK38">
        <v>0</v>
      </c>
      <c r="AL38">
        <v>0</v>
      </c>
      <c r="AM38">
        <v>2E-3</v>
      </c>
      <c r="AN38">
        <v>2.7709999999999999</v>
      </c>
      <c r="AO38">
        <v>4.2000000000000003E-2</v>
      </c>
      <c r="AP38">
        <v>3.2000000000000001E-2</v>
      </c>
      <c r="AQ38">
        <v>0</v>
      </c>
      <c r="AR38">
        <v>0</v>
      </c>
      <c r="AS38">
        <v>0</v>
      </c>
      <c r="AT38" t="s">
        <v>243</v>
      </c>
      <c r="AU38" t="s">
        <v>243</v>
      </c>
      <c r="AV38" t="s">
        <v>549</v>
      </c>
      <c r="CY38">
        <v>7881</v>
      </c>
      <c r="CZ38">
        <v>13.46529628219764</v>
      </c>
      <c r="DA38">
        <v>13.73250728862968</v>
      </c>
      <c r="DB38">
        <v>0.26721100643203499</v>
      </c>
      <c r="DC38">
        <v>1.9458282512857791E-2</v>
      </c>
      <c r="DD38">
        <v>1.945828251285779</v>
      </c>
    </row>
    <row r="39" spans="1:108" ht="16" customHeight="1" x14ac:dyDescent="0.2">
      <c r="A39" t="s">
        <v>41</v>
      </c>
      <c r="B39" t="s">
        <v>584</v>
      </c>
      <c r="C39" t="s">
        <v>548</v>
      </c>
      <c r="D39" t="s">
        <v>174</v>
      </c>
      <c r="E39" t="s">
        <v>175</v>
      </c>
      <c r="F39" t="s">
        <v>176</v>
      </c>
      <c r="G39">
        <v>0.5</v>
      </c>
      <c r="H39">
        <v>8</v>
      </c>
      <c r="I39" t="s">
        <v>177</v>
      </c>
      <c r="J39" t="s">
        <v>178</v>
      </c>
      <c r="K39" t="s">
        <v>179</v>
      </c>
      <c r="L39" t="s">
        <v>180</v>
      </c>
      <c r="M39">
        <v>8043</v>
      </c>
      <c r="N39">
        <v>0.98035721866313441</v>
      </c>
      <c r="O39">
        <v>0.98035721866313441</v>
      </c>
      <c r="P39">
        <v>0.98035721866313441</v>
      </c>
      <c r="Q39">
        <v>17.690000000000001</v>
      </c>
      <c r="R39">
        <v>786</v>
      </c>
      <c r="S39">
        <v>786</v>
      </c>
      <c r="T39">
        <v>206226</v>
      </c>
      <c r="U39">
        <v>1572</v>
      </c>
      <c r="V39">
        <v>207798</v>
      </c>
      <c r="W39">
        <v>25</v>
      </c>
      <c r="X39">
        <v>206226</v>
      </c>
      <c r="Y39">
        <v>1572</v>
      </c>
      <c r="Z39">
        <v>207798</v>
      </c>
      <c r="AA39">
        <v>9828</v>
      </c>
      <c r="AB39">
        <v>9828</v>
      </c>
      <c r="AC39">
        <v>0</v>
      </c>
      <c r="AD39">
        <v>0</v>
      </c>
      <c r="AE39">
        <v>13.821999999999999</v>
      </c>
      <c r="AF39">
        <v>3.633</v>
      </c>
      <c r="AG39">
        <v>2.4E-2</v>
      </c>
      <c r="AH39">
        <v>0.20699999999999999</v>
      </c>
      <c r="AI39">
        <v>0.20100000000000001</v>
      </c>
      <c r="AJ39">
        <v>2.9000000000000001E-2</v>
      </c>
      <c r="AK39">
        <v>0</v>
      </c>
      <c r="AL39">
        <v>0</v>
      </c>
      <c r="AM39">
        <v>2E-3</v>
      </c>
      <c r="AN39">
        <v>3.036</v>
      </c>
      <c r="AO39">
        <v>0.185</v>
      </c>
      <c r="AP39">
        <v>0.20699999999999999</v>
      </c>
      <c r="AQ39">
        <v>0</v>
      </c>
      <c r="AR39">
        <v>0</v>
      </c>
      <c r="AS39">
        <v>0</v>
      </c>
      <c r="AT39" t="s">
        <v>243</v>
      </c>
      <c r="AU39" t="s">
        <v>243</v>
      </c>
      <c r="AV39" t="s">
        <v>549</v>
      </c>
      <c r="CY39">
        <v>8043</v>
      </c>
      <c r="CZ39">
        <v>13.462762650752209</v>
      </c>
      <c r="DA39">
        <v>13.73250728862968</v>
      </c>
      <c r="DB39">
        <v>0.26974463787746572</v>
      </c>
      <c r="DC39">
        <v>1.9642781336865589E-2</v>
      </c>
      <c r="DD39">
        <v>1.9642781336865589</v>
      </c>
    </row>
    <row r="40" spans="1:108" x14ac:dyDescent="0.2">
      <c r="A40" t="s">
        <v>41</v>
      </c>
      <c r="B40" t="s">
        <v>585</v>
      </c>
      <c r="C40" t="s">
        <v>548</v>
      </c>
      <c r="D40" t="s">
        <v>174</v>
      </c>
      <c r="E40" t="s">
        <v>175</v>
      </c>
      <c r="F40" t="s">
        <v>176</v>
      </c>
      <c r="G40">
        <v>0.5</v>
      </c>
      <c r="H40">
        <v>10</v>
      </c>
      <c r="I40" t="s">
        <v>177</v>
      </c>
      <c r="J40" t="s">
        <v>178</v>
      </c>
      <c r="K40" t="s">
        <v>179</v>
      </c>
      <c r="L40" t="s">
        <v>180</v>
      </c>
      <c r="M40">
        <v>4137</v>
      </c>
      <c r="N40">
        <v>0.98408096034936621</v>
      </c>
      <c r="O40">
        <v>0.98408096034936621</v>
      </c>
      <c r="P40">
        <v>0.98408096034936621</v>
      </c>
      <c r="Q40">
        <v>17.850000000000001</v>
      </c>
      <c r="R40">
        <v>982</v>
      </c>
      <c r="S40">
        <v>982</v>
      </c>
      <c r="T40">
        <v>257579</v>
      </c>
      <c r="U40">
        <v>1964</v>
      </c>
      <c r="V40">
        <v>259543</v>
      </c>
      <c r="W40">
        <v>31</v>
      </c>
      <c r="X40">
        <v>257579</v>
      </c>
      <c r="Y40">
        <v>1964</v>
      </c>
      <c r="Z40">
        <v>259543</v>
      </c>
      <c r="AA40">
        <v>9828</v>
      </c>
      <c r="AB40">
        <v>9828</v>
      </c>
      <c r="AC40">
        <v>0</v>
      </c>
      <c r="AD40">
        <v>0</v>
      </c>
      <c r="AE40">
        <v>14.113</v>
      </c>
      <c r="AF40">
        <v>3.6520000000000001</v>
      </c>
      <c r="AG40">
        <v>0.05</v>
      </c>
      <c r="AH40">
        <v>3.2000000000000001E-2</v>
      </c>
      <c r="AI40">
        <v>0.222</v>
      </c>
      <c r="AJ40">
        <v>2.5000000000000001E-2</v>
      </c>
      <c r="AK40">
        <v>0</v>
      </c>
      <c r="AL40">
        <v>0</v>
      </c>
      <c r="AM40">
        <v>2E-3</v>
      </c>
      <c r="AN40">
        <v>3.101</v>
      </c>
      <c r="AO40">
        <v>2.8000000000000001E-2</v>
      </c>
      <c r="AP40">
        <v>3.2000000000000001E-2</v>
      </c>
      <c r="AQ40">
        <v>0</v>
      </c>
      <c r="AR40">
        <v>0</v>
      </c>
      <c r="AS40">
        <v>0</v>
      </c>
      <c r="AT40" t="s">
        <v>243</v>
      </c>
      <c r="AU40" t="s">
        <v>243</v>
      </c>
      <c r="AV40" t="s">
        <v>549</v>
      </c>
      <c r="CY40">
        <v>4137</v>
      </c>
      <c r="CZ40">
        <v>13.513898960599359</v>
      </c>
      <c r="DA40">
        <v>13.73250728862968</v>
      </c>
      <c r="DB40">
        <v>0.21860832803031369</v>
      </c>
      <c r="DC40">
        <v>1.5919039650633821E-2</v>
      </c>
      <c r="DD40">
        <v>1.5919039650633819</v>
      </c>
    </row>
    <row r="41" spans="1:108" x14ac:dyDescent="0.2">
      <c r="A41" t="s">
        <v>41</v>
      </c>
      <c r="B41" t="s">
        <v>266</v>
      </c>
      <c r="C41" t="s">
        <v>265</v>
      </c>
      <c r="D41" t="s">
        <v>174</v>
      </c>
      <c r="E41" t="s">
        <v>175</v>
      </c>
      <c r="F41" t="s">
        <v>176</v>
      </c>
      <c r="G41">
        <v>0.5</v>
      </c>
      <c r="H41">
        <v>2</v>
      </c>
      <c r="I41" t="s">
        <v>177</v>
      </c>
      <c r="J41" t="s">
        <v>178</v>
      </c>
      <c r="K41" t="s">
        <v>179</v>
      </c>
      <c r="L41" t="s">
        <v>180</v>
      </c>
      <c r="M41">
        <v>2984</v>
      </c>
      <c r="N41">
        <v>0.98533836068252401</v>
      </c>
      <c r="O41">
        <v>0.98533836068252401</v>
      </c>
      <c r="P41">
        <v>0.98533836068252401</v>
      </c>
      <c r="Q41">
        <v>17.649999999999999</v>
      </c>
      <c r="R41">
        <v>196</v>
      </c>
      <c r="S41">
        <v>196</v>
      </c>
      <c r="T41">
        <v>50677</v>
      </c>
      <c r="U41">
        <v>392</v>
      </c>
      <c r="V41">
        <v>51069</v>
      </c>
      <c r="W41">
        <v>10</v>
      </c>
      <c r="X41">
        <v>50677</v>
      </c>
      <c r="Y41">
        <v>392</v>
      </c>
      <c r="Z41">
        <v>51069</v>
      </c>
      <c r="AA41">
        <v>9828</v>
      </c>
      <c r="AB41">
        <v>9828</v>
      </c>
      <c r="AC41">
        <v>0</v>
      </c>
      <c r="AD41">
        <v>0</v>
      </c>
      <c r="AE41">
        <v>13.781000000000001</v>
      </c>
      <c r="AF41">
        <v>3.7949999999999999</v>
      </c>
      <c r="AG41">
        <v>0.04</v>
      </c>
      <c r="AH41">
        <v>0.03</v>
      </c>
      <c r="AI41">
        <v>0.216</v>
      </c>
      <c r="AJ41">
        <v>2.1999999999999999E-2</v>
      </c>
      <c r="AK41">
        <v>0</v>
      </c>
      <c r="AL41">
        <v>0</v>
      </c>
      <c r="AM41">
        <v>0.61099999999999999</v>
      </c>
      <c r="AN41">
        <v>2.6589999999999998</v>
      </c>
      <c r="AO41">
        <v>2.4E-2</v>
      </c>
      <c r="AP41">
        <v>0.03</v>
      </c>
      <c r="AQ41">
        <v>0</v>
      </c>
      <c r="AR41">
        <v>0</v>
      </c>
      <c r="AS41">
        <v>0</v>
      </c>
      <c r="AT41" t="s">
        <v>243</v>
      </c>
      <c r="AU41" t="s">
        <v>243</v>
      </c>
      <c r="AV41" t="s">
        <v>549</v>
      </c>
      <c r="CY41">
        <v>2984</v>
      </c>
      <c r="CZ41">
        <v>13.53116621983918</v>
      </c>
      <c r="DA41">
        <v>13.73250728862968</v>
      </c>
      <c r="DB41">
        <v>0.20134106879049801</v>
      </c>
      <c r="DC41">
        <v>1.4661639317475951E-2</v>
      </c>
      <c r="DD41">
        <v>1.466163931747595</v>
      </c>
    </row>
    <row r="42" spans="1:108" x14ac:dyDescent="0.2">
      <c r="A42" t="s">
        <v>41</v>
      </c>
      <c r="B42" t="s">
        <v>268</v>
      </c>
      <c r="C42" t="s">
        <v>265</v>
      </c>
      <c r="D42" t="s">
        <v>174</v>
      </c>
      <c r="E42" t="s">
        <v>175</v>
      </c>
      <c r="F42" t="s">
        <v>176</v>
      </c>
      <c r="G42">
        <v>0.5</v>
      </c>
      <c r="H42">
        <v>4</v>
      </c>
      <c r="I42" t="s">
        <v>177</v>
      </c>
      <c r="J42" t="s">
        <v>178</v>
      </c>
      <c r="K42" t="s">
        <v>179</v>
      </c>
      <c r="L42" t="s">
        <v>180</v>
      </c>
      <c r="M42">
        <v>3667</v>
      </c>
      <c r="N42">
        <v>0.97517521615698999</v>
      </c>
      <c r="O42">
        <v>0.97517521615698999</v>
      </c>
      <c r="P42">
        <v>0.97517521615698999</v>
      </c>
      <c r="Q42">
        <v>19.489999999999998</v>
      </c>
      <c r="R42">
        <v>393</v>
      </c>
      <c r="S42">
        <v>393</v>
      </c>
      <c r="T42">
        <v>104114</v>
      </c>
      <c r="U42">
        <v>786</v>
      </c>
      <c r="V42">
        <v>104900</v>
      </c>
      <c r="W42">
        <v>20</v>
      </c>
      <c r="X42">
        <v>104114</v>
      </c>
      <c r="Y42">
        <v>786</v>
      </c>
      <c r="Z42">
        <v>104900</v>
      </c>
      <c r="AA42">
        <v>9828</v>
      </c>
      <c r="AB42">
        <v>9828</v>
      </c>
      <c r="AC42">
        <v>0</v>
      </c>
      <c r="AD42">
        <v>0</v>
      </c>
      <c r="AE42">
        <v>14.180999999999999</v>
      </c>
      <c r="AF42">
        <v>5.194</v>
      </c>
      <c r="AG42">
        <v>1.9E-2</v>
      </c>
      <c r="AH42">
        <v>9.8000000000000004E-2</v>
      </c>
      <c r="AI42">
        <v>0.22</v>
      </c>
      <c r="AJ42">
        <v>2.5999999999999999E-2</v>
      </c>
      <c r="AK42">
        <v>0</v>
      </c>
      <c r="AL42">
        <v>0</v>
      </c>
      <c r="AM42">
        <v>0.27200000000000002</v>
      </c>
      <c r="AN42">
        <v>4.3810000000000002</v>
      </c>
      <c r="AO42">
        <v>2.5000000000000001E-2</v>
      </c>
      <c r="AP42">
        <v>9.8000000000000004E-2</v>
      </c>
      <c r="AQ42">
        <v>0</v>
      </c>
      <c r="AR42">
        <v>0</v>
      </c>
      <c r="AS42">
        <v>0</v>
      </c>
      <c r="AT42" t="s">
        <v>243</v>
      </c>
      <c r="AU42" t="s">
        <v>243</v>
      </c>
      <c r="AV42" t="s">
        <v>549</v>
      </c>
      <c r="CY42">
        <v>3667</v>
      </c>
      <c r="CZ42">
        <v>13.391600763566879</v>
      </c>
      <c r="DA42">
        <v>13.73250728862968</v>
      </c>
      <c r="DB42">
        <v>0.34090652506279179</v>
      </c>
      <c r="DC42">
        <v>2.4824783843010061E-2</v>
      </c>
      <c r="DD42">
        <v>2.4824783843010061</v>
      </c>
    </row>
    <row r="43" spans="1:108" x14ac:dyDescent="0.2">
      <c r="A43" t="s">
        <v>41</v>
      </c>
      <c r="B43" t="s">
        <v>270</v>
      </c>
      <c r="C43" t="s">
        <v>265</v>
      </c>
      <c r="D43" t="s">
        <v>174</v>
      </c>
      <c r="E43" t="s">
        <v>175</v>
      </c>
      <c r="F43" t="s">
        <v>176</v>
      </c>
      <c r="G43">
        <v>0.5</v>
      </c>
      <c r="H43">
        <v>6</v>
      </c>
      <c r="I43" t="s">
        <v>177</v>
      </c>
      <c r="J43" t="s">
        <v>178</v>
      </c>
      <c r="K43" t="s">
        <v>179</v>
      </c>
      <c r="L43" t="s">
        <v>180</v>
      </c>
      <c r="M43">
        <v>3880</v>
      </c>
      <c r="N43">
        <v>0.98451397670249319</v>
      </c>
      <c r="O43">
        <v>0.98451397670249319</v>
      </c>
      <c r="P43">
        <v>0.98451397670249319</v>
      </c>
      <c r="Q43">
        <v>21.58</v>
      </c>
      <c r="R43">
        <v>589</v>
      </c>
      <c r="S43">
        <v>589</v>
      </c>
      <c r="T43">
        <v>155648</v>
      </c>
      <c r="U43">
        <v>1178</v>
      </c>
      <c r="V43">
        <v>156826</v>
      </c>
      <c r="W43">
        <v>20</v>
      </c>
      <c r="X43">
        <v>155648</v>
      </c>
      <c r="Y43">
        <v>1178</v>
      </c>
      <c r="Z43">
        <v>156826</v>
      </c>
      <c r="AA43">
        <v>9828</v>
      </c>
      <c r="AB43">
        <v>9828</v>
      </c>
      <c r="AC43">
        <v>0</v>
      </c>
      <c r="AD43">
        <v>0</v>
      </c>
      <c r="AE43">
        <v>14.348000000000001</v>
      </c>
      <c r="AF43">
        <v>7.133</v>
      </c>
      <c r="AG43">
        <v>2.7E-2</v>
      </c>
      <c r="AH43">
        <v>7.0000000000000007E-2</v>
      </c>
      <c r="AI43">
        <v>0.20399999999999999</v>
      </c>
      <c r="AJ43">
        <v>2.1000000000000001E-2</v>
      </c>
      <c r="AK43">
        <v>0</v>
      </c>
      <c r="AL43">
        <v>0</v>
      </c>
      <c r="AM43">
        <v>0.72699999999999998</v>
      </c>
      <c r="AN43">
        <v>5.89</v>
      </c>
      <c r="AO43">
        <v>2.5999999999999999E-2</v>
      </c>
      <c r="AP43">
        <v>7.0000000000000007E-2</v>
      </c>
      <c r="AQ43">
        <v>0</v>
      </c>
      <c r="AR43">
        <v>0</v>
      </c>
      <c r="AS43">
        <v>0</v>
      </c>
      <c r="AT43" t="s">
        <v>243</v>
      </c>
      <c r="AU43" t="s">
        <v>243</v>
      </c>
      <c r="AV43" t="s">
        <v>549</v>
      </c>
      <c r="CY43">
        <v>3880</v>
      </c>
      <c r="CZ43">
        <v>13.519845360824769</v>
      </c>
      <c r="DA43">
        <v>13.73250728862968</v>
      </c>
      <c r="DB43">
        <v>0.21266192780490201</v>
      </c>
      <c r="DC43">
        <v>1.5486023297506859E-2</v>
      </c>
      <c r="DD43">
        <v>1.5486023297506859</v>
      </c>
    </row>
    <row r="44" spans="1:108" x14ac:dyDescent="0.2">
      <c r="A44" t="s">
        <v>41</v>
      </c>
      <c r="B44" t="s">
        <v>272</v>
      </c>
      <c r="C44" t="s">
        <v>265</v>
      </c>
      <c r="D44" t="s">
        <v>174</v>
      </c>
      <c r="E44" t="s">
        <v>175</v>
      </c>
      <c r="F44" t="s">
        <v>176</v>
      </c>
      <c r="G44">
        <v>0.5</v>
      </c>
      <c r="H44">
        <v>8</v>
      </c>
      <c r="I44" t="s">
        <v>177</v>
      </c>
      <c r="J44" t="s">
        <v>178</v>
      </c>
      <c r="K44" t="s">
        <v>179</v>
      </c>
      <c r="L44" t="s">
        <v>180</v>
      </c>
      <c r="M44">
        <v>3541</v>
      </c>
      <c r="N44">
        <v>0.97966536683317851</v>
      </c>
      <c r="O44">
        <v>0.97966536683317851</v>
      </c>
      <c r="P44">
        <v>0.97966536683317851</v>
      </c>
      <c r="Q44">
        <v>22.12</v>
      </c>
      <c r="R44">
        <v>786</v>
      </c>
      <c r="S44">
        <v>786</v>
      </c>
      <c r="T44">
        <v>204689</v>
      </c>
      <c r="U44">
        <v>1572</v>
      </c>
      <c r="V44">
        <v>206261</v>
      </c>
      <c r="W44">
        <v>30</v>
      </c>
      <c r="X44">
        <v>204689</v>
      </c>
      <c r="Y44">
        <v>1572</v>
      </c>
      <c r="Z44">
        <v>206261</v>
      </c>
      <c r="AA44">
        <v>9828</v>
      </c>
      <c r="AB44">
        <v>9828</v>
      </c>
      <c r="AC44">
        <v>0</v>
      </c>
      <c r="AD44">
        <v>0</v>
      </c>
      <c r="AE44">
        <v>14.179</v>
      </c>
      <c r="AF44">
        <v>7.8890000000000002</v>
      </c>
      <c r="AG44">
        <v>2.1999999999999999E-2</v>
      </c>
      <c r="AH44">
        <v>3.1E-2</v>
      </c>
      <c r="AI44">
        <v>0.20699999999999999</v>
      </c>
      <c r="AJ44">
        <v>2.7E-2</v>
      </c>
      <c r="AK44">
        <v>0</v>
      </c>
      <c r="AL44">
        <v>0</v>
      </c>
      <c r="AM44">
        <v>0.66600000000000004</v>
      </c>
      <c r="AN44">
        <v>6.774</v>
      </c>
      <c r="AO44">
        <v>2.5999999999999999E-2</v>
      </c>
      <c r="AP44">
        <v>3.1E-2</v>
      </c>
      <c r="AQ44">
        <v>0</v>
      </c>
      <c r="AR44">
        <v>0</v>
      </c>
      <c r="AS44">
        <v>0</v>
      </c>
      <c r="AT44" t="s">
        <v>243</v>
      </c>
      <c r="AU44" t="s">
        <v>243</v>
      </c>
      <c r="AV44" t="s">
        <v>549</v>
      </c>
      <c r="CY44">
        <v>3541</v>
      </c>
      <c r="CZ44">
        <v>13.45326179045469</v>
      </c>
      <c r="DA44">
        <v>13.73250728862968</v>
      </c>
      <c r="DB44">
        <v>0.27924549817498701</v>
      </c>
      <c r="DC44">
        <v>2.0334633166821499E-2</v>
      </c>
      <c r="DD44">
        <v>2.0334633166821501</v>
      </c>
    </row>
    <row r="45" spans="1:108" x14ac:dyDescent="0.2">
      <c r="A45" t="s">
        <v>41</v>
      </c>
      <c r="B45" t="s">
        <v>274</v>
      </c>
      <c r="C45" t="s">
        <v>265</v>
      </c>
      <c r="D45" t="s">
        <v>174</v>
      </c>
      <c r="E45" t="s">
        <v>175</v>
      </c>
      <c r="F45" t="s">
        <v>176</v>
      </c>
      <c r="G45">
        <v>0.5</v>
      </c>
      <c r="H45">
        <v>10</v>
      </c>
      <c r="I45" t="s">
        <v>177</v>
      </c>
      <c r="J45" t="s">
        <v>178</v>
      </c>
      <c r="K45" t="s">
        <v>179</v>
      </c>
      <c r="L45" t="s">
        <v>180</v>
      </c>
      <c r="M45">
        <v>2954</v>
      </c>
      <c r="N45">
        <v>0.97204971209556712</v>
      </c>
      <c r="O45">
        <v>0.97204971209556712</v>
      </c>
      <c r="P45">
        <v>0.97204971209556712</v>
      </c>
      <c r="Q45">
        <v>23.15</v>
      </c>
      <c r="R45">
        <v>982</v>
      </c>
      <c r="S45">
        <v>982</v>
      </c>
      <c r="T45">
        <v>260677</v>
      </c>
      <c r="U45">
        <v>1964</v>
      </c>
      <c r="V45">
        <v>262641</v>
      </c>
      <c r="W45">
        <v>40</v>
      </c>
      <c r="X45">
        <v>260677</v>
      </c>
      <c r="Y45">
        <v>1964</v>
      </c>
      <c r="Z45">
        <v>262641</v>
      </c>
      <c r="AA45">
        <v>9828</v>
      </c>
      <c r="AB45">
        <v>9828</v>
      </c>
      <c r="AC45">
        <v>0</v>
      </c>
      <c r="AD45">
        <v>0</v>
      </c>
      <c r="AE45">
        <v>14.116</v>
      </c>
      <c r="AF45">
        <v>8.984</v>
      </c>
      <c r="AG45">
        <v>2.3E-2</v>
      </c>
      <c r="AH45">
        <v>2.8000000000000001E-2</v>
      </c>
      <c r="AI45">
        <v>0.216</v>
      </c>
      <c r="AJ45">
        <v>2.5000000000000001E-2</v>
      </c>
      <c r="AK45">
        <v>0</v>
      </c>
      <c r="AL45">
        <v>0</v>
      </c>
      <c r="AM45">
        <v>0.4</v>
      </c>
      <c r="AN45">
        <v>8.0950000000000006</v>
      </c>
      <c r="AO45">
        <v>2.7E-2</v>
      </c>
      <c r="AP45">
        <v>2.8000000000000001E-2</v>
      </c>
      <c r="AQ45">
        <v>0</v>
      </c>
      <c r="AR45">
        <v>0</v>
      </c>
      <c r="AS45">
        <v>0</v>
      </c>
      <c r="AT45" t="s">
        <v>243</v>
      </c>
      <c r="AU45" t="s">
        <v>243</v>
      </c>
      <c r="AV45" t="s">
        <v>549</v>
      </c>
      <c r="CY45">
        <v>2954</v>
      </c>
      <c r="CZ45">
        <v>13.348679756262751</v>
      </c>
      <c r="DA45">
        <v>13.73250728862968</v>
      </c>
      <c r="DB45">
        <v>0.38382753236692219</v>
      </c>
      <c r="DC45">
        <v>2.795028790443287E-2</v>
      </c>
      <c r="DD45">
        <v>2.7950287904432871</v>
      </c>
    </row>
    <row r="46" spans="1:108" ht="16" customHeight="1" x14ac:dyDescent="0.2">
      <c r="A46" t="s">
        <v>42</v>
      </c>
      <c r="B46" t="s">
        <v>586</v>
      </c>
      <c r="C46" t="s">
        <v>548</v>
      </c>
      <c r="D46" t="s">
        <v>174</v>
      </c>
      <c r="E46" t="s">
        <v>175</v>
      </c>
      <c r="F46" t="s">
        <v>176</v>
      </c>
      <c r="G46">
        <v>0.5</v>
      </c>
      <c r="H46">
        <v>2</v>
      </c>
      <c r="I46" t="s">
        <v>177</v>
      </c>
      <c r="J46" t="s">
        <v>178</v>
      </c>
      <c r="K46" t="s">
        <v>179</v>
      </c>
      <c r="L46" t="s">
        <v>180</v>
      </c>
      <c r="M46">
        <v>183</v>
      </c>
      <c r="N46">
        <v>0.1202185792349727</v>
      </c>
      <c r="O46">
        <v>0.1349693251533742</v>
      </c>
      <c r="P46">
        <v>0.1271676300578034</v>
      </c>
      <c r="Q46">
        <v>9.57</v>
      </c>
      <c r="R46">
        <v>37</v>
      </c>
      <c r="S46">
        <v>37</v>
      </c>
      <c r="T46">
        <v>57788</v>
      </c>
      <c r="U46">
        <v>74</v>
      </c>
      <c r="V46">
        <v>57862</v>
      </c>
      <c r="W46">
        <v>37</v>
      </c>
      <c r="X46">
        <v>57788</v>
      </c>
      <c r="Y46">
        <v>74</v>
      </c>
      <c r="Z46">
        <v>57862</v>
      </c>
      <c r="AA46">
        <v>1880</v>
      </c>
      <c r="AB46">
        <v>1880</v>
      </c>
      <c r="AC46">
        <v>0</v>
      </c>
      <c r="AD46">
        <v>0</v>
      </c>
      <c r="AE46">
        <v>1.7000000000000001E-2</v>
      </c>
      <c r="AF46">
        <v>9.5419999999999998</v>
      </c>
      <c r="AG46">
        <v>6.0000000000000001E-3</v>
      </c>
      <c r="AH46">
        <v>8.0000000000000002E-3</v>
      </c>
      <c r="AI46">
        <v>0.19700000000000001</v>
      </c>
      <c r="AJ46">
        <v>1.538</v>
      </c>
      <c r="AK46">
        <v>0</v>
      </c>
      <c r="AL46">
        <v>0</v>
      </c>
      <c r="AM46">
        <v>1E-3</v>
      </c>
      <c r="AN46">
        <v>7.6479999999999997</v>
      </c>
      <c r="AO46">
        <v>2.1999999999999999E-2</v>
      </c>
      <c r="AP46">
        <v>8.0000000000000002E-3</v>
      </c>
      <c r="AQ46">
        <v>0</v>
      </c>
      <c r="AR46">
        <v>0</v>
      </c>
      <c r="AS46">
        <v>0</v>
      </c>
      <c r="AT46" t="s">
        <v>243</v>
      </c>
      <c r="AU46" t="s">
        <v>243</v>
      </c>
      <c r="AV46" t="s">
        <v>549</v>
      </c>
    </row>
    <row r="47" spans="1:108" ht="16" customHeight="1" x14ac:dyDescent="0.2">
      <c r="A47" t="s">
        <v>42</v>
      </c>
      <c r="B47" t="s">
        <v>587</v>
      </c>
      <c r="C47" t="s">
        <v>548</v>
      </c>
      <c r="D47" t="s">
        <v>174</v>
      </c>
      <c r="E47" t="s">
        <v>175</v>
      </c>
      <c r="F47" t="s">
        <v>176</v>
      </c>
      <c r="G47">
        <v>0.5</v>
      </c>
      <c r="H47">
        <v>4</v>
      </c>
      <c r="I47" t="s">
        <v>177</v>
      </c>
      <c r="J47" t="s">
        <v>178</v>
      </c>
      <c r="K47" t="s">
        <v>179</v>
      </c>
      <c r="L47" t="s">
        <v>180</v>
      </c>
      <c r="M47">
        <v>111</v>
      </c>
      <c r="N47">
        <v>0.1081081081081081</v>
      </c>
      <c r="O47">
        <v>7.3619631901840496E-2</v>
      </c>
      <c r="P47">
        <v>8.7591240875912399E-2</v>
      </c>
      <c r="Q47">
        <v>12.44</v>
      </c>
      <c r="R47">
        <v>75</v>
      </c>
      <c r="S47">
        <v>75</v>
      </c>
      <c r="T47">
        <v>114650</v>
      </c>
      <c r="U47">
        <v>150</v>
      </c>
      <c r="V47">
        <v>114800</v>
      </c>
      <c r="W47">
        <v>75</v>
      </c>
      <c r="X47">
        <v>114650</v>
      </c>
      <c r="Y47">
        <v>150</v>
      </c>
      <c r="Z47">
        <v>114800</v>
      </c>
      <c r="AA47">
        <v>1880</v>
      </c>
      <c r="AB47">
        <v>1880</v>
      </c>
      <c r="AC47">
        <v>0</v>
      </c>
      <c r="AD47">
        <v>0</v>
      </c>
      <c r="AE47">
        <v>0</v>
      </c>
      <c r="AF47">
        <v>12.427</v>
      </c>
      <c r="AG47">
        <v>1.0999999999999999E-2</v>
      </c>
      <c r="AH47">
        <v>4.0000000000000001E-3</v>
      </c>
      <c r="AI47">
        <v>0.18</v>
      </c>
      <c r="AJ47">
        <v>1.2999999999999999E-2</v>
      </c>
      <c r="AK47">
        <v>0</v>
      </c>
      <c r="AL47">
        <v>0</v>
      </c>
      <c r="AM47">
        <v>1E-3</v>
      </c>
      <c r="AN47">
        <v>12.047000000000001</v>
      </c>
      <c r="AO47">
        <v>1.6E-2</v>
      </c>
      <c r="AP47">
        <v>4.0000000000000001E-3</v>
      </c>
      <c r="AQ47">
        <v>0</v>
      </c>
      <c r="AR47">
        <v>0</v>
      </c>
      <c r="AS47">
        <v>0</v>
      </c>
      <c r="AT47" t="s">
        <v>243</v>
      </c>
      <c r="AU47" t="s">
        <v>243</v>
      </c>
      <c r="AV47" t="s">
        <v>549</v>
      </c>
    </row>
    <row r="48" spans="1:108" ht="16" customHeight="1" x14ac:dyDescent="0.2">
      <c r="A48" t="s">
        <v>42</v>
      </c>
      <c r="B48" t="s">
        <v>588</v>
      </c>
      <c r="C48" t="s">
        <v>548</v>
      </c>
      <c r="D48" t="s">
        <v>174</v>
      </c>
      <c r="E48" t="s">
        <v>175</v>
      </c>
      <c r="F48" t="s">
        <v>176</v>
      </c>
      <c r="G48">
        <v>0.5</v>
      </c>
      <c r="H48">
        <v>6</v>
      </c>
      <c r="I48" t="s">
        <v>177</v>
      </c>
      <c r="J48" t="s">
        <v>178</v>
      </c>
      <c r="K48" t="s">
        <v>179</v>
      </c>
      <c r="L48" t="s">
        <v>180</v>
      </c>
      <c r="M48">
        <v>213</v>
      </c>
      <c r="N48">
        <v>0.17840375586854459</v>
      </c>
      <c r="O48">
        <v>0.23312883435582821</v>
      </c>
      <c r="P48">
        <v>0.2021276595744681</v>
      </c>
      <c r="Q48">
        <v>16.7</v>
      </c>
      <c r="R48">
        <v>112</v>
      </c>
      <c r="S48">
        <v>112</v>
      </c>
      <c r="T48">
        <v>172416</v>
      </c>
      <c r="U48">
        <v>224</v>
      </c>
      <c r="V48">
        <v>172640</v>
      </c>
      <c r="W48">
        <v>112</v>
      </c>
      <c r="X48">
        <v>172416</v>
      </c>
      <c r="Y48">
        <v>224</v>
      </c>
      <c r="Z48">
        <v>172640</v>
      </c>
      <c r="AA48">
        <v>1880</v>
      </c>
      <c r="AB48">
        <v>1880</v>
      </c>
      <c r="AC48">
        <v>0</v>
      </c>
      <c r="AD48">
        <v>0</v>
      </c>
      <c r="AE48">
        <v>0</v>
      </c>
      <c r="AF48">
        <v>16.684000000000001</v>
      </c>
      <c r="AG48">
        <v>0.01</v>
      </c>
      <c r="AH48">
        <v>5.0000000000000001E-3</v>
      </c>
      <c r="AI48">
        <v>0.14299999999999999</v>
      </c>
      <c r="AJ48">
        <v>2.3E-2</v>
      </c>
      <c r="AK48">
        <v>0</v>
      </c>
      <c r="AL48">
        <v>0</v>
      </c>
      <c r="AM48">
        <v>1E-3</v>
      </c>
      <c r="AN48">
        <v>16.411999999999999</v>
      </c>
      <c r="AO48">
        <v>1.9E-2</v>
      </c>
      <c r="AP48">
        <v>5.0000000000000001E-3</v>
      </c>
      <c r="AQ48">
        <v>0</v>
      </c>
      <c r="AR48">
        <v>0</v>
      </c>
      <c r="AS48">
        <v>0</v>
      </c>
      <c r="AT48" t="s">
        <v>243</v>
      </c>
      <c r="AU48" t="s">
        <v>243</v>
      </c>
      <c r="AV48" t="s">
        <v>549</v>
      </c>
    </row>
    <row r="49" spans="1:102" ht="16" customHeight="1" x14ac:dyDescent="0.2">
      <c r="A49" t="s">
        <v>42</v>
      </c>
      <c r="B49" t="s">
        <v>589</v>
      </c>
      <c r="C49" t="s">
        <v>548</v>
      </c>
      <c r="D49" t="s">
        <v>174</v>
      </c>
      <c r="E49" t="s">
        <v>175</v>
      </c>
      <c r="F49" t="s">
        <v>176</v>
      </c>
      <c r="G49">
        <v>0.5</v>
      </c>
      <c r="H49">
        <v>8</v>
      </c>
      <c r="I49" t="s">
        <v>177</v>
      </c>
      <c r="J49" t="s">
        <v>178</v>
      </c>
      <c r="K49" t="s">
        <v>179</v>
      </c>
      <c r="L49" t="s">
        <v>180</v>
      </c>
      <c r="M49">
        <v>245</v>
      </c>
      <c r="N49">
        <v>0.15918367346938769</v>
      </c>
      <c r="O49">
        <v>0.2392638036809816</v>
      </c>
      <c r="P49">
        <v>0.19117647058823531</v>
      </c>
      <c r="Q49">
        <v>21.83</v>
      </c>
      <c r="R49">
        <v>150</v>
      </c>
      <c r="S49">
        <v>150</v>
      </c>
      <c r="T49">
        <v>234650</v>
      </c>
      <c r="U49">
        <v>300</v>
      </c>
      <c r="V49">
        <v>234950</v>
      </c>
      <c r="W49">
        <v>150</v>
      </c>
      <c r="X49">
        <v>234650</v>
      </c>
      <c r="Y49">
        <v>300</v>
      </c>
      <c r="Z49">
        <v>234950</v>
      </c>
      <c r="AA49">
        <v>1880</v>
      </c>
      <c r="AB49">
        <v>1880</v>
      </c>
      <c r="AC49">
        <v>0</v>
      </c>
      <c r="AD49">
        <v>0</v>
      </c>
      <c r="AE49">
        <v>0</v>
      </c>
      <c r="AF49">
        <v>21.812000000000001</v>
      </c>
      <c r="AG49">
        <v>1.2E-2</v>
      </c>
      <c r="AH49">
        <v>1.2E-2</v>
      </c>
      <c r="AI49">
        <v>0.159</v>
      </c>
      <c r="AJ49">
        <v>1.0999999999999999E-2</v>
      </c>
      <c r="AK49">
        <v>0</v>
      </c>
      <c r="AL49">
        <v>0</v>
      </c>
      <c r="AM49">
        <v>1E-3</v>
      </c>
      <c r="AN49">
        <v>21.535</v>
      </c>
      <c r="AO49">
        <v>2.1999999999999999E-2</v>
      </c>
      <c r="AP49">
        <v>1.2E-2</v>
      </c>
      <c r="AQ49">
        <v>0</v>
      </c>
      <c r="AR49">
        <v>0</v>
      </c>
      <c r="AS49">
        <v>0</v>
      </c>
      <c r="AT49" t="s">
        <v>243</v>
      </c>
      <c r="AU49" t="s">
        <v>243</v>
      </c>
      <c r="AV49" t="s">
        <v>549</v>
      </c>
    </row>
    <row r="50" spans="1:102" ht="16" customHeight="1" x14ac:dyDescent="0.2">
      <c r="A50" t="s">
        <v>42</v>
      </c>
      <c r="B50" t="s">
        <v>590</v>
      </c>
      <c r="C50" t="s">
        <v>548</v>
      </c>
      <c r="D50" t="s">
        <v>174</v>
      </c>
      <c r="E50" t="s">
        <v>175</v>
      </c>
      <c r="F50" t="s">
        <v>176</v>
      </c>
      <c r="G50">
        <v>0.5</v>
      </c>
      <c r="H50">
        <v>10</v>
      </c>
      <c r="I50" t="s">
        <v>177</v>
      </c>
      <c r="J50" t="s">
        <v>178</v>
      </c>
      <c r="K50" t="s">
        <v>179</v>
      </c>
      <c r="L50" t="s">
        <v>180</v>
      </c>
      <c r="M50">
        <v>262</v>
      </c>
      <c r="N50">
        <v>0.18320610687022901</v>
      </c>
      <c r="O50">
        <v>0.29447852760736198</v>
      </c>
      <c r="P50">
        <v>0.22588235294117651</v>
      </c>
      <c r="Q50">
        <v>30.14</v>
      </c>
      <c r="R50">
        <v>188</v>
      </c>
      <c r="S50">
        <v>188</v>
      </c>
      <c r="T50">
        <v>304357</v>
      </c>
      <c r="U50">
        <v>376</v>
      </c>
      <c r="V50">
        <v>304733</v>
      </c>
      <c r="W50">
        <v>188</v>
      </c>
      <c r="X50">
        <v>304357</v>
      </c>
      <c r="Y50">
        <v>376</v>
      </c>
      <c r="Z50">
        <v>304733</v>
      </c>
      <c r="AA50">
        <v>1880</v>
      </c>
      <c r="AB50">
        <v>1880</v>
      </c>
      <c r="AC50">
        <v>0</v>
      </c>
      <c r="AD50">
        <v>0</v>
      </c>
      <c r="AE50">
        <v>0</v>
      </c>
      <c r="AF50">
        <v>30.126999999999999</v>
      </c>
      <c r="AG50">
        <v>8.0000000000000002E-3</v>
      </c>
      <c r="AH50">
        <v>7.0000000000000001E-3</v>
      </c>
      <c r="AI50">
        <v>0.16500000000000001</v>
      </c>
      <c r="AJ50">
        <v>1.4E-2</v>
      </c>
      <c r="AK50">
        <v>0</v>
      </c>
      <c r="AL50">
        <v>0</v>
      </c>
      <c r="AM50">
        <v>1E-3</v>
      </c>
      <c r="AN50">
        <v>29.742999999999999</v>
      </c>
      <c r="AO50">
        <v>3.7999999999999999E-2</v>
      </c>
      <c r="AP50">
        <v>7.0000000000000001E-3</v>
      </c>
      <c r="AQ50">
        <v>0</v>
      </c>
      <c r="AR50">
        <v>0</v>
      </c>
      <c r="AS50">
        <v>0</v>
      </c>
      <c r="AT50" t="s">
        <v>243</v>
      </c>
      <c r="AU50" t="s">
        <v>243</v>
      </c>
      <c r="AV50" t="s">
        <v>549</v>
      </c>
    </row>
    <row r="51" spans="1:102" ht="16" customHeight="1" x14ac:dyDescent="0.2">
      <c r="A51" t="s">
        <v>42</v>
      </c>
      <c r="B51" t="s">
        <v>591</v>
      </c>
      <c r="C51" t="s">
        <v>265</v>
      </c>
      <c r="D51" t="s">
        <v>174</v>
      </c>
      <c r="E51" t="s">
        <v>175</v>
      </c>
      <c r="F51" t="s">
        <v>176</v>
      </c>
      <c r="G51">
        <v>0.5</v>
      </c>
      <c r="H51">
        <v>2</v>
      </c>
      <c r="I51" t="s">
        <v>177</v>
      </c>
      <c r="J51" t="s">
        <v>178</v>
      </c>
      <c r="K51" t="s">
        <v>179</v>
      </c>
      <c r="L51" t="s">
        <v>180</v>
      </c>
      <c r="M51">
        <v>48</v>
      </c>
      <c r="N51">
        <v>6.25E-2</v>
      </c>
      <c r="O51">
        <v>1.8404907975460121E-2</v>
      </c>
      <c r="P51">
        <v>2.843601895734597E-2</v>
      </c>
      <c r="Q51">
        <v>8.99</v>
      </c>
      <c r="R51">
        <v>37</v>
      </c>
      <c r="S51">
        <v>37</v>
      </c>
      <c r="T51">
        <v>53779</v>
      </c>
      <c r="U51">
        <v>74</v>
      </c>
      <c r="V51">
        <v>53853</v>
      </c>
      <c r="W51">
        <v>37</v>
      </c>
      <c r="X51">
        <v>53779</v>
      </c>
      <c r="Y51">
        <v>74</v>
      </c>
      <c r="Z51">
        <v>53853</v>
      </c>
      <c r="AA51">
        <v>1880</v>
      </c>
      <c r="AB51">
        <v>1880</v>
      </c>
      <c r="AC51">
        <v>0</v>
      </c>
      <c r="AD51">
        <v>0</v>
      </c>
      <c r="AE51">
        <v>0</v>
      </c>
      <c r="AF51">
        <v>8.9830000000000005</v>
      </c>
      <c r="AG51">
        <v>4.0000000000000001E-3</v>
      </c>
      <c r="AH51">
        <v>5.0000000000000001E-3</v>
      </c>
      <c r="AI51">
        <v>0.16800000000000001</v>
      </c>
      <c r="AJ51">
        <v>1.6E-2</v>
      </c>
      <c r="AK51">
        <v>0</v>
      </c>
      <c r="AL51">
        <v>0</v>
      </c>
      <c r="AM51">
        <v>2.7E-2</v>
      </c>
      <c r="AN51">
        <v>8.5879999999999992</v>
      </c>
      <c r="AO51">
        <v>0.06</v>
      </c>
      <c r="AP51">
        <v>5.0000000000000001E-3</v>
      </c>
      <c r="AQ51">
        <v>0</v>
      </c>
      <c r="AR51">
        <v>0</v>
      </c>
      <c r="AS51">
        <v>0</v>
      </c>
      <c r="AT51" t="s">
        <v>243</v>
      </c>
      <c r="AU51" t="s">
        <v>243</v>
      </c>
      <c r="AV51" t="s">
        <v>549</v>
      </c>
    </row>
    <row r="52" spans="1:102" ht="16" customHeight="1" x14ac:dyDescent="0.2">
      <c r="A52" t="s">
        <v>42</v>
      </c>
      <c r="B52" t="s">
        <v>592</v>
      </c>
      <c r="C52" t="s">
        <v>265</v>
      </c>
      <c r="D52" t="s">
        <v>174</v>
      </c>
      <c r="E52" t="s">
        <v>175</v>
      </c>
      <c r="F52" t="s">
        <v>176</v>
      </c>
      <c r="G52">
        <v>0.5</v>
      </c>
      <c r="H52">
        <v>4</v>
      </c>
      <c r="I52" t="s">
        <v>177</v>
      </c>
      <c r="J52" t="s">
        <v>178</v>
      </c>
      <c r="K52" t="s">
        <v>179</v>
      </c>
      <c r="L52" t="s">
        <v>180</v>
      </c>
      <c r="M52">
        <v>279</v>
      </c>
      <c r="N52">
        <v>0.17204301075268821</v>
      </c>
      <c r="O52">
        <v>0.29447852760736198</v>
      </c>
      <c r="P52">
        <v>0.21719457013574661</v>
      </c>
      <c r="Q52">
        <v>14.86</v>
      </c>
      <c r="R52">
        <v>75</v>
      </c>
      <c r="S52">
        <v>75</v>
      </c>
      <c r="T52">
        <v>102473</v>
      </c>
      <c r="U52">
        <v>150</v>
      </c>
      <c r="V52">
        <v>102623</v>
      </c>
      <c r="W52">
        <v>75</v>
      </c>
      <c r="X52">
        <v>102473</v>
      </c>
      <c r="Y52">
        <v>150</v>
      </c>
      <c r="Z52">
        <v>102623</v>
      </c>
      <c r="AA52">
        <v>1880</v>
      </c>
      <c r="AB52">
        <v>1880</v>
      </c>
      <c r="AC52">
        <v>0</v>
      </c>
      <c r="AD52">
        <v>0</v>
      </c>
      <c r="AE52">
        <v>0</v>
      </c>
      <c r="AF52">
        <v>14.816000000000001</v>
      </c>
      <c r="AG52">
        <v>1.4999999999999999E-2</v>
      </c>
      <c r="AH52">
        <v>2.5999999999999999E-2</v>
      </c>
      <c r="AI52">
        <v>0.156</v>
      </c>
      <c r="AJ52">
        <v>1.2E-2</v>
      </c>
      <c r="AK52">
        <v>0</v>
      </c>
      <c r="AL52">
        <v>0</v>
      </c>
      <c r="AM52">
        <v>6.9000000000000006E-2</v>
      </c>
      <c r="AN52">
        <v>14.358000000000001</v>
      </c>
      <c r="AO52">
        <v>5.3999999999999999E-2</v>
      </c>
      <c r="AP52">
        <v>2.5999999999999999E-2</v>
      </c>
      <c r="AQ52">
        <v>0</v>
      </c>
      <c r="AR52">
        <v>0</v>
      </c>
      <c r="AS52">
        <v>0</v>
      </c>
      <c r="AT52" t="s">
        <v>243</v>
      </c>
      <c r="AU52" t="s">
        <v>243</v>
      </c>
      <c r="AV52" t="s">
        <v>549</v>
      </c>
    </row>
    <row r="53" spans="1:102" ht="16" customHeight="1" x14ac:dyDescent="0.2">
      <c r="A53" t="s">
        <v>42</v>
      </c>
      <c r="B53" t="s">
        <v>593</v>
      </c>
      <c r="C53" t="s">
        <v>265</v>
      </c>
      <c r="D53" t="s">
        <v>174</v>
      </c>
      <c r="E53" t="s">
        <v>175</v>
      </c>
      <c r="F53" t="s">
        <v>176</v>
      </c>
      <c r="G53">
        <v>0.5</v>
      </c>
      <c r="H53">
        <v>6</v>
      </c>
      <c r="I53" t="s">
        <v>177</v>
      </c>
      <c r="J53" t="s">
        <v>178</v>
      </c>
      <c r="K53" t="s">
        <v>179</v>
      </c>
      <c r="L53" t="s">
        <v>180</v>
      </c>
      <c r="M53">
        <v>196</v>
      </c>
      <c r="N53">
        <v>0.13775510204081631</v>
      </c>
      <c r="O53">
        <v>0.16564417177914109</v>
      </c>
      <c r="P53">
        <v>0.15041782729805009</v>
      </c>
      <c r="Q53">
        <v>20.21</v>
      </c>
      <c r="R53">
        <v>112</v>
      </c>
      <c r="S53">
        <v>112</v>
      </c>
      <c r="T53">
        <v>148382</v>
      </c>
      <c r="U53">
        <v>224</v>
      </c>
      <c r="V53">
        <v>148606</v>
      </c>
      <c r="W53">
        <v>112</v>
      </c>
      <c r="X53">
        <v>148382</v>
      </c>
      <c r="Y53">
        <v>224</v>
      </c>
      <c r="Z53">
        <v>148606</v>
      </c>
      <c r="AA53">
        <v>1880</v>
      </c>
      <c r="AB53">
        <v>1880</v>
      </c>
      <c r="AC53">
        <v>0</v>
      </c>
      <c r="AD53">
        <v>0</v>
      </c>
      <c r="AE53">
        <v>0</v>
      </c>
      <c r="AF53">
        <v>20.169</v>
      </c>
      <c r="AG53">
        <v>1.4E-2</v>
      </c>
      <c r="AH53">
        <v>2.5000000000000001E-2</v>
      </c>
      <c r="AI53">
        <v>0.16700000000000001</v>
      </c>
      <c r="AJ53">
        <v>8.9999999999999993E-3</v>
      </c>
      <c r="AK53">
        <v>0</v>
      </c>
      <c r="AL53">
        <v>0</v>
      </c>
      <c r="AM53">
        <v>9.4E-2</v>
      </c>
      <c r="AN53">
        <v>19.713000000000001</v>
      </c>
      <c r="AO53">
        <v>4.9000000000000002E-2</v>
      </c>
      <c r="AP53">
        <v>2.5000000000000001E-2</v>
      </c>
      <c r="AQ53">
        <v>0</v>
      </c>
      <c r="AR53">
        <v>0</v>
      </c>
      <c r="AS53">
        <v>0</v>
      </c>
      <c r="AT53" t="s">
        <v>243</v>
      </c>
      <c r="AU53" t="s">
        <v>243</v>
      </c>
      <c r="AV53" t="s">
        <v>549</v>
      </c>
    </row>
    <row r="54" spans="1:102" ht="16" customHeight="1" x14ac:dyDescent="0.2">
      <c r="A54" t="s">
        <v>42</v>
      </c>
      <c r="B54" t="s">
        <v>594</v>
      </c>
      <c r="C54" t="s">
        <v>265</v>
      </c>
      <c r="D54" t="s">
        <v>174</v>
      </c>
      <c r="E54" t="s">
        <v>175</v>
      </c>
      <c r="F54" t="s">
        <v>176</v>
      </c>
      <c r="G54">
        <v>0.5</v>
      </c>
      <c r="H54">
        <v>8</v>
      </c>
      <c r="I54" t="s">
        <v>177</v>
      </c>
      <c r="J54" t="s">
        <v>178</v>
      </c>
      <c r="K54" t="s">
        <v>179</v>
      </c>
      <c r="L54" t="s">
        <v>180</v>
      </c>
      <c r="M54">
        <v>319</v>
      </c>
      <c r="N54">
        <v>0.17868338557993729</v>
      </c>
      <c r="O54">
        <v>0.34969325153374231</v>
      </c>
      <c r="P54">
        <v>0.23651452282157681</v>
      </c>
      <c r="Q54">
        <v>23.88</v>
      </c>
      <c r="R54">
        <v>150</v>
      </c>
      <c r="S54">
        <v>150</v>
      </c>
      <c r="T54">
        <v>192393</v>
      </c>
      <c r="U54">
        <v>300</v>
      </c>
      <c r="V54">
        <v>192693</v>
      </c>
      <c r="W54">
        <v>150</v>
      </c>
      <c r="X54">
        <v>192393</v>
      </c>
      <c r="Y54">
        <v>300</v>
      </c>
      <c r="Z54">
        <v>192693</v>
      </c>
      <c r="AA54">
        <v>1880</v>
      </c>
      <c r="AB54">
        <v>1880</v>
      </c>
      <c r="AC54">
        <v>0</v>
      </c>
      <c r="AD54">
        <v>0</v>
      </c>
      <c r="AE54">
        <v>0</v>
      </c>
      <c r="AF54">
        <v>23.866</v>
      </c>
      <c r="AG54">
        <v>8.9999999999999993E-3</v>
      </c>
      <c r="AH54">
        <v>7.0000000000000001E-3</v>
      </c>
      <c r="AI54">
        <v>0.152</v>
      </c>
      <c r="AJ54">
        <v>1.4999999999999999E-2</v>
      </c>
      <c r="AK54">
        <v>0</v>
      </c>
      <c r="AL54">
        <v>0</v>
      </c>
      <c r="AM54">
        <v>9.1999999999999998E-2</v>
      </c>
      <c r="AN54">
        <v>23.48</v>
      </c>
      <c r="AO54">
        <v>3.3000000000000002E-2</v>
      </c>
      <c r="AP54">
        <v>7.0000000000000001E-3</v>
      </c>
      <c r="AQ54">
        <v>0</v>
      </c>
      <c r="AR54">
        <v>0</v>
      </c>
      <c r="AS54">
        <v>0</v>
      </c>
      <c r="AT54" t="s">
        <v>243</v>
      </c>
      <c r="AU54" t="s">
        <v>243</v>
      </c>
      <c r="AV54" t="s">
        <v>549</v>
      </c>
    </row>
    <row r="55" spans="1:102" ht="16" customHeight="1" x14ac:dyDescent="0.2">
      <c r="A55" t="s">
        <v>42</v>
      </c>
      <c r="B55" t="s">
        <v>595</v>
      </c>
      <c r="C55" t="s">
        <v>265</v>
      </c>
      <c r="D55" t="s">
        <v>174</v>
      </c>
      <c r="E55" t="s">
        <v>175</v>
      </c>
      <c r="F55" t="s">
        <v>176</v>
      </c>
      <c r="G55">
        <v>0.5</v>
      </c>
      <c r="H55">
        <v>10</v>
      </c>
      <c r="I55" t="s">
        <v>177</v>
      </c>
      <c r="J55" t="s">
        <v>178</v>
      </c>
      <c r="K55" t="s">
        <v>179</v>
      </c>
      <c r="L55" t="s">
        <v>180</v>
      </c>
      <c r="M55">
        <v>273</v>
      </c>
      <c r="N55">
        <v>0.17582417582417581</v>
      </c>
      <c r="O55">
        <v>0.29447852760736198</v>
      </c>
      <c r="P55">
        <v>0.22018348623853221</v>
      </c>
      <c r="Q55">
        <v>27.74</v>
      </c>
      <c r="R55">
        <v>188</v>
      </c>
      <c r="S55">
        <v>188</v>
      </c>
      <c r="T55">
        <v>224105</v>
      </c>
      <c r="U55">
        <v>376</v>
      </c>
      <c r="V55">
        <v>224481</v>
      </c>
      <c r="W55">
        <v>188</v>
      </c>
      <c r="X55">
        <v>224105</v>
      </c>
      <c r="Y55">
        <v>376</v>
      </c>
      <c r="Z55">
        <v>224481</v>
      </c>
      <c r="AA55">
        <v>1880</v>
      </c>
      <c r="AB55">
        <v>1880</v>
      </c>
      <c r="AC55">
        <v>0</v>
      </c>
      <c r="AD55">
        <v>0</v>
      </c>
      <c r="AE55">
        <v>0</v>
      </c>
      <c r="AF55">
        <v>27.713999999999999</v>
      </c>
      <c r="AG55">
        <v>1.2999999999999999E-2</v>
      </c>
      <c r="AH55">
        <v>1.0999999999999999E-2</v>
      </c>
      <c r="AI55">
        <v>0.16900000000000001</v>
      </c>
      <c r="AJ55">
        <v>1.9E-2</v>
      </c>
      <c r="AK55">
        <v>0</v>
      </c>
      <c r="AL55">
        <v>0</v>
      </c>
      <c r="AM55">
        <v>0.11600000000000001</v>
      </c>
      <c r="AN55">
        <v>27.161000000000001</v>
      </c>
      <c r="AO55">
        <v>5.8000000000000003E-2</v>
      </c>
      <c r="AP55">
        <v>1.0999999999999999E-2</v>
      </c>
      <c r="AQ55">
        <v>0</v>
      </c>
      <c r="AR55">
        <v>0</v>
      </c>
      <c r="AS55">
        <v>0</v>
      </c>
      <c r="AT55" t="s">
        <v>243</v>
      </c>
      <c r="AU55" t="s">
        <v>243</v>
      </c>
      <c r="AV55" t="s">
        <v>549</v>
      </c>
    </row>
    <row r="56" spans="1:102" ht="16" customHeight="1" x14ac:dyDescent="0.2"/>
    <row r="57" spans="1:102" ht="16" customHeight="1" x14ac:dyDescent="0.2">
      <c r="A57" t="s">
        <v>596</v>
      </c>
    </row>
    <row r="58" spans="1:102" ht="16" customHeight="1" x14ac:dyDescent="0.2">
      <c r="A58" t="s">
        <v>0</v>
      </c>
      <c r="B58" t="s">
        <v>71</v>
      </c>
      <c r="C58" t="s">
        <v>72</v>
      </c>
      <c r="D58" t="s">
        <v>73</v>
      </c>
      <c r="E58" t="s">
        <v>74</v>
      </c>
      <c r="F58" t="s">
        <v>75</v>
      </c>
      <c r="G58" t="s">
        <v>76</v>
      </c>
      <c r="H58" t="s">
        <v>77</v>
      </c>
      <c r="I58" t="s">
        <v>78</v>
      </c>
      <c r="J58" t="s">
        <v>79</v>
      </c>
      <c r="K58" t="s">
        <v>80</v>
      </c>
      <c r="L58" t="s">
        <v>81</v>
      </c>
      <c r="M58" t="s">
        <v>82</v>
      </c>
      <c r="N58" t="s">
        <v>83</v>
      </c>
      <c r="O58" t="s">
        <v>84</v>
      </c>
      <c r="P58" t="s">
        <v>85</v>
      </c>
      <c r="Q58" t="s">
        <v>86</v>
      </c>
      <c r="R58" t="s">
        <v>87</v>
      </c>
      <c r="S58" t="s">
        <v>88</v>
      </c>
      <c r="T58" t="s">
        <v>89</v>
      </c>
      <c r="U58" t="s">
        <v>90</v>
      </c>
      <c r="V58" t="s">
        <v>91</v>
      </c>
      <c r="W58" t="s">
        <v>92</v>
      </c>
      <c r="X58" t="s">
        <v>93</v>
      </c>
      <c r="Y58" t="s">
        <v>94</v>
      </c>
      <c r="Z58" t="s">
        <v>95</v>
      </c>
      <c r="AA58" t="s">
        <v>96</v>
      </c>
      <c r="AB58" t="s">
        <v>97</v>
      </c>
      <c r="AC58" t="s">
        <v>98</v>
      </c>
      <c r="AD58" t="s">
        <v>99</v>
      </c>
      <c r="AE58" t="s">
        <v>100</v>
      </c>
      <c r="AF58" t="s">
        <v>101</v>
      </c>
      <c r="AG58" t="s">
        <v>102</v>
      </c>
      <c r="AH58" t="s">
        <v>103</v>
      </c>
      <c r="AI58" t="s">
        <v>104</v>
      </c>
      <c r="AJ58" t="s">
        <v>105</v>
      </c>
      <c r="AK58" t="s">
        <v>106</v>
      </c>
      <c r="AL58" t="s">
        <v>107</v>
      </c>
      <c r="AM58" t="s">
        <v>108</v>
      </c>
      <c r="AN58" t="s">
        <v>109</v>
      </c>
      <c r="AO58" t="s">
        <v>110</v>
      </c>
      <c r="AP58" t="s">
        <v>111</v>
      </c>
      <c r="AQ58" t="s">
        <v>112</v>
      </c>
      <c r="AR58" t="s">
        <v>113</v>
      </c>
      <c r="AS58" t="s">
        <v>114</v>
      </c>
      <c r="AT58" t="s">
        <v>115</v>
      </c>
      <c r="AU58" t="s">
        <v>116</v>
      </c>
      <c r="AV58" t="s">
        <v>117</v>
      </c>
      <c r="AW58" t="s">
        <v>118</v>
      </c>
      <c r="AX58" t="s">
        <v>119</v>
      </c>
      <c r="AY58" t="s">
        <v>120</v>
      </c>
      <c r="AZ58" t="s">
        <v>121</v>
      </c>
      <c r="BA58" t="s">
        <v>122</v>
      </c>
      <c r="BB58" t="s">
        <v>123</v>
      </c>
      <c r="BC58" t="s">
        <v>124</v>
      </c>
      <c r="BD58" t="s">
        <v>125</v>
      </c>
      <c r="BE58" t="s">
        <v>126</v>
      </c>
      <c r="BF58" t="s">
        <v>127</v>
      </c>
      <c r="BG58" t="s">
        <v>128</v>
      </c>
      <c r="BH58" t="s">
        <v>129</v>
      </c>
      <c r="BI58" t="s">
        <v>130</v>
      </c>
      <c r="BJ58" t="s">
        <v>131</v>
      </c>
      <c r="BK58" t="s">
        <v>132</v>
      </c>
      <c r="BL58" t="s">
        <v>133</v>
      </c>
      <c r="BM58" t="s">
        <v>134</v>
      </c>
      <c r="BN58" t="s">
        <v>135</v>
      </c>
      <c r="BO58" t="s">
        <v>136</v>
      </c>
      <c r="BP58" t="s">
        <v>137</v>
      </c>
      <c r="BQ58" t="s">
        <v>138</v>
      </c>
      <c r="BR58" t="s">
        <v>139</v>
      </c>
      <c r="BS58" t="s">
        <v>140</v>
      </c>
      <c r="BT58" t="s">
        <v>141</v>
      </c>
      <c r="BU58" t="s">
        <v>142</v>
      </c>
      <c r="BV58" t="s">
        <v>143</v>
      </c>
      <c r="BW58" t="s">
        <v>144</v>
      </c>
      <c r="BX58" t="s">
        <v>145</v>
      </c>
      <c r="BY58" t="s">
        <v>146</v>
      </c>
      <c r="BZ58" t="s">
        <v>147</v>
      </c>
      <c r="CA58" t="s">
        <v>148</v>
      </c>
      <c r="CB58" t="s">
        <v>149</v>
      </c>
      <c r="CC58" t="s">
        <v>150</v>
      </c>
      <c r="CD58" t="s">
        <v>151</v>
      </c>
      <c r="CE58" t="s">
        <v>152</v>
      </c>
      <c r="CF58" t="s">
        <v>153</v>
      </c>
      <c r="CG58" t="s">
        <v>154</v>
      </c>
      <c r="CH58" t="s">
        <v>155</v>
      </c>
      <c r="CI58" t="s">
        <v>156</v>
      </c>
      <c r="CJ58" t="s">
        <v>157</v>
      </c>
      <c r="CK58" t="s">
        <v>158</v>
      </c>
      <c r="CL58" t="s">
        <v>159</v>
      </c>
      <c r="CM58" t="s">
        <v>160</v>
      </c>
      <c r="CN58" t="s">
        <v>161</v>
      </c>
      <c r="CO58" t="s">
        <v>162</v>
      </c>
      <c r="CP58" t="s">
        <v>163</v>
      </c>
      <c r="CQ58" t="s">
        <v>164</v>
      </c>
      <c r="CR58" t="s">
        <v>165</v>
      </c>
      <c r="CS58" t="s">
        <v>166</v>
      </c>
      <c r="CT58" t="s">
        <v>167</v>
      </c>
      <c r="CU58" t="s">
        <v>168</v>
      </c>
      <c r="CV58" t="s">
        <v>169</v>
      </c>
      <c r="CW58" t="s">
        <v>170</v>
      </c>
      <c r="CX58" t="s">
        <v>171</v>
      </c>
    </row>
    <row r="59" spans="1:102" ht="16" customHeight="1" x14ac:dyDescent="0.2">
      <c r="A59" t="s">
        <v>36</v>
      </c>
      <c r="B59" t="s">
        <v>597</v>
      </c>
      <c r="C59" t="s">
        <v>548</v>
      </c>
      <c r="D59" t="s">
        <v>174</v>
      </c>
      <c r="E59" t="s">
        <v>175</v>
      </c>
      <c r="F59" t="s">
        <v>176</v>
      </c>
      <c r="G59">
        <v>0.5</v>
      </c>
      <c r="H59">
        <v>5</v>
      </c>
      <c r="I59" t="s">
        <v>177</v>
      </c>
      <c r="J59" t="s">
        <v>178</v>
      </c>
      <c r="K59" t="s">
        <v>179</v>
      </c>
      <c r="L59" t="s">
        <v>180</v>
      </c>
      <c r="M59">
        <v>1466</v>
      </c>
      <c r="N59">
        <v>4.3656207366984993E-2</v>
      </c>
      <c r="O59">
        <v>0.68817204301075274</v>
      </c>
      <c r="P59">
        <v>8.2103912764592696E-2</v>
      </c>
      <c r="Q59">
        <v>3.24</v>
      </c>
      <c r="R59">
        <v>84</v>
      </c>
      <c r="S59">
        <v>84</v>
      </c>
      <c r="T59">
        <v>39223</v>
      </c>
      <c r="U59">
        <v>168</v>
      </c>
      <c r="V59">
        <v>39391</v>
      </c>
      <c r="W59">
        <v>3</v>
      </c>
      <c r="X59">
        <v>39223</v>
      </c>
      <c r="Y59">
        <v>168</v>
      </c>
      <c r="Z59">
        <v>39391</v>
      </c>
      <c r="AA59">
        <v>1681</v>
      </c>
      <c r="AB59">
        <v>1681</v>
      </c>
      <c r="AC59">
        <v>0</v>
      </c>
      <c r="AD59">
        <v>0</v>
      </c>
      <c r="AE59">
        <v>1.2E-2</v>
      </c>
      <c r="AF59">
        <v>3.1819999999999999</v>
      </c>
      <c r="AG59">
        <v>1.7999999999999999E-2</v>
      </c>
      <c r="AH59">
        <v>2.8000000000000001E-2</v>
      </c>
      <c r="AI59">
        <v>0.76600000000000001</v>
      </c>
      <c r="AJ59">
        <v>1.0999999999999999E-2</v>
      </c>
      <c r="AK59">
        <v>4.1000000000000002E-2</v>
      </c>
      <c r="AL59">
        <v>0</v>
      </c>
      <c r="AM59">
        <v>1E-3</v>
      </c>
      <c r="AN59">
        <v>1.61</v>
      </c>
      <c r="AO59">
        <v>0.19</v>
      </c>
      <c r="AP59">
        <v>2.8000000000000001E-2</v>
      </c>
      <c r="AQ59">
        <v>0</v>
      </c>
      <c r="AR59">
        <v>0</v>
      </c>
      <c r="AS59">
        <v>0</v>
      </c>
      <c r="AT59" t="s">
        <v>243</v>
      </c>
      <c r="AU59" t="s">
        <v>243</v>
      </c>
      <c r="AV59" t="s">
        <v>549</v>
      </c>
    </row>
    <row r="60" spans="1:102" ht="16" customHeight="1" x14ac:dyDescent="0.2">
      <c r="A60" t="s">
        <v>36</v>
      </c>
      <c r="B60" t="s">
        <v>598</v>
      </c>
      <c r="C60" t="s">
        <v>548</v>
      </c>
      <c r="D60" t="s">
        <v>174</v>
      </c>
      <c r="E60" t="s">
        <v>175</v>
      </c>
      <c r="F60" t="s">
        <v>176</v>
      </c>
      <c r="G60">
        <v>0.5</v>
      </c>
      <c r="H60">
        <v>10</v>
      </c>
      <c r="I60" t="s">
        <v>177</v>
      </c>
      <c r="J60" t="s">
        <v>178</v>
      </c>
      <c r="K60" t="s">
        <v>179</v>
      </c>
      <c r="L60" t="s">
        <v>180</v>
      </c>
      <c r="M60">
        <v>1182</v>
      </c>
      <c r="N60">
        <v>4.2301184433164128E-2</v>
      </c>
      <c r="O60">
        <v>0.5376344086021505</v>
      </c>
      <c r="P60">
        <v>7.8431372549019607E-2</v>
      </c>
      <c r="Q60">
        <v>1.94</v>
      </c>
      <c r="R60">
        <v>168</v>
      </c>
      <c r="S60">
        <v>168</v>
      </c>
      <c r="T60">
        <v>77616</v>
      </c>
      <c r="U60">
        <v>336</v>
      </c>
      <c r="V60">
        <v>77952</v>
      </c>
      <c r="W60">
        <v>6</v>
      </c>
      <c r="X60">
        <v>77616</v>
      </c>
      <c r="Y60">
        <v>336</v>
      </c>
      <c r="Z60">
        <v>77952</v>
      </c>
      <c r="AA60">
        <v>1681</v>
      </c>
      <c r="AB60">
        <v>1681</v>
      </c>
      <c r="AC60">
        <v>0</v>
      </c>
      <c r="AD60">
        <v>0</v>
      </c>
      <c r="AE60">
        <v>8.9999999999999993E-3</v>
      </c>
      <c r="AF60">
        <v>1.905</v>
      </c>
      <c r="AG60">
        <v>2.5000000000000001E-2</v>
      </c>
      <c r="AH60">
        <v>4.0000000000000001E-3</v>
      </c>
      <c r="AI60">
        <v>0.29199999999999998</v>
      </c>
      <c r="AJ60">
        <v>1.6E-2</v>
      </c>
      <c r="AK60">
        <v>3.9E-2</v>
      </c>
      <c r="AL60">
        <v>0</v>
      </c>
      <c r="AM60">
        <v>1E-3</v>
      </c>
      <c r="AN60">
        <v>1.21</v>
      </c>
      <c r="AO60">
        <v>4.4999999999999998E-2</v>
      </c>
      <c r="AP60">
        <v>4.0000000000000001E-3</v>
      </c>
      <c r="AQ60">
        <v>0</v>
      </c>
      <c r="AR60">
        <v>0</v>
      </c>
      <c r="AS60">
        <v>0</v>
      </c>
      <c r="AT60" t="s">
        <v>243</v>
      </c>
      <c r="AU60" t="s">
        <v>243</v>
      </c>
      <c r="AV60" t="s">
        <v>549</v>
      </c>
    </row>
    <row r="61" spans="1:102" ht="16" customHeight="1" x14ac:dyDescent="0.2">
      <c r="A61" t="s">
        <v>36</v>
      </c>
      <c r="B61" t="s">
        <v>599</v>
      </c>
      <c r="C61" t="s">
        <v>548</v>
      </c>
      <c r="D61" t="s">
        <v>174</v>
      </c>
      <c r="E61" t="s">
        <v>175</v>
      </c>
      <c r="F61" t="s">
        <v>176</v>
      </c>
      <c r="G61">
        <v>0.5</v>
      </c>
      <c r="H61">
        <v>15</v>
      </c>
      <c r="I61" t="s">
        <v>177</v>
      </c>
      <c r="J61" t="s">
        <v>178</v>
      </c>
      <c r="K61" t="s">
        <v>179</v>
      </c>
      <c r="L61" t="s">
        <v>180</v>
      </c>
      <c r="M61">
        <v>1148</v>
      </c>
      <c r="N61">
        <v>4.1811846689895467E-2</v>
      </c>
      <c r="O61">
        <v>0.5161290322580645</v>
      </c>
      <c r="P61">
        <v>7.7356970185334412E-2</v>
      </c>
      <c r="Q61">
        <v>1.95</v>
      </c>
      <c r="R61">
        <v>252</v>
      </c>
      <c r="S61">
        <v>252</v>
      </c>
      <c r="T61">
        <v>119019</v>
      </c>
      <c r="U61">
        <v>504</v>
      </c>
      <c r="V61">
        <v>119523</v>
      </c>
      <c r="W61">
        <v>8</v>
      </c>
      <c r="X61">
        <v>119019</v>
      </c>
      <c r="Y61">
        <v>504</v>
      </c>
      <c r="Z61">
        <v>119523</v>
      </c>
      <c r="AA61">
        <v>1681</v>
      </c>
      <c r="AB61">
        <v>1681</v>
      </c>
      <c r="AC61">
        <v>0</v>
      </c>
      <c r="AD61">
        <v>0</v>
      </c>
      <c r="AE61">
        <v>5.0000000000000001E-3</v>
      </c>
      <c r="AF61">
        <v>1.9359999999999999</v>
      </c>
      <c r="AG61">
        <v>8.9999999999999993E-3</v>
      </c>
      <c r="AH61">
        <v>4.0000000000000001E-3</v>
      </c>
      <c r="AI61">
        <v>0.25800000000000001</v>
      </c>
      <c r="AJ61">
        <v>1.0999999999999999E-2</v>
      </c>
      <c r="AK61">
        <v>3.9E-2</v>
      </c>
      <c r="AL61">
        <v>0</v>
      </c>
      <c r="AM61">
        <v>1E-3</v>
      </c>
      <c r="AN61">
        <v>1.4159999999999999</v>
      </c>
      <c r="AO61">
        <v>3.5000000000000003E-2</v>
      </c>
      <c r="AP61">
        <v>4.0000000000000001E-3</v>
      </c>
      <c r="AQ61">
        <v>0</v>
      </c>
      <c r="AR61">
        <v>0</v>
      </c>
      <c r="AS61">
        <v>0</v>
      </c>
      <c r="AT61" t="s">
        <v>243</v>
      </c>
      <c r="AU61" t="s">
        <v>243</v>
      </c>
      <c r="AV61" t="s">
        <v>549</v>
      </c>
    </row>
    <row r="62" spans="1:102" ht="16" customHeight="1" x14ac:dyDescent="0.2">
      <c r="A62" t="s">
        <v>36</v>
      </c>
      <c r="B62" t="s">
        <v>600</v>
      </c>
      <c r="C62" t="s">
        <v>548</v>
      </c>
      <c r="D62" t="s">
        <v>174</v>
      </c>
      <c r="E62" t="s">
        <v>175</v>
      </c>
      <c r="F62" t="s">
        <v>176</v>
      </c>
      <c r="G62">
        <v>0.5</v>
      </c>
      <c r="H62">
        <v>20</v>
      </c>
      <c r="I62" t="s">
        <v>177</v>
      </c>
      <c r="J62" t="s">
        <v>178</v>
      </c>
      <c r="K62" t="s">
        <v>179</v>
      </c>
      <c r="L62" t="s">
        <v>180</v>
      </c>
      <c r="M62">
        <v>1101</v>
      </c>
      <c r="N62">
        <v>4.9954586739327893E-2</v>
      </c>
      <c r="O62">
        <v>0.59139784946236562</v>
      </c>
      <c r="P62">
        <v>9.212730318257957E-2</v>
      </c>
      <c r="Q62">
        <v>2.0299999999999998</v>
      </c>
      <c r="R62">
        <v>336</v>
      </c>
      <c r="S62">
        <v>336</v>
      </c>
      <c r="T62">
        <v>159761</v>
      </c>
      <c r="U62">
        <v>672</v>
      </c>
      <c r="V62">
        <v>160433</v>
      </c>
      <c r="W62">
        <v>11</v>
      </c>
      <c r="X62">
        <v>159761</v>
      </c>
      <c r="Y62">
        <v>672</v>
      </c>
      <c r="Z62">
        <v>160433</v>
      </c>
      <c r="AA62">
        <v>1681</v>
      </c>
      <c r="AB62">
        <v>1681</v>
      </c>
      <c r="AC62">
        <v>0</v>
      </c>
      <c r="AD62">
        <v>0</v>
      </c>
      <c r="AE62">
        <v>5.0000000000000001E-3</v>
      </c>
      <c r="AF62">
        <v>1.9750000000000001</v>
      </c>
      <c r="AG62">
        <v>2.8000000000000001E-2</v>
      </c>
      <c r="AH62">
        <v>2.4E-2</v>
      </c>
      <c r="AI62">
        <v>0.23100000000000001</v>
      </c>
      <c r="AJ62">
        <v>1.4999999999999999E-2</v>
      </c>
      <c r="AK62">
        <v>3.9E-2</v>
      </c>
      <c r="AL62">
        <v>0</v>
      </c>
      <c r="AM62">
        <v>1E-3</v>
      </c>
      <c r="AN62">
        <v>1.425</v>
      </c>
      <c r="AO62">
        <v>6.0999999999999999E-2</v>
      </c>
      <c r="AP62">
        <v>2.4E-2</v>
      </c>
      <c r="AQ62">
        <v>0</v>
      </c>
      <c r="AR62">
        <v>0</v>
      </c>
      <c r="AS62">
        <v>0</v>
      </c>
      <c r="AT62" t="s">
        <v>243</v>
      </c>
      <c r="AU62" t="s">
        <v>243</v>
      </c>
      <c r="AV62" t="s">
        <v>549</v>
      </c>
    </row>
    <row r="63" spans="1:102" ht="16" customHeight="1" x14ac:dyDescent="0.2">
      <c r="A63" t="s">
        <v>36</v>
      </c>
      <c r="B63" t="s">
        <v>601</v>
      </c>
      <c r="C63" t="s">
        <v>548</v>
      </c>
      <c r="D63" t="s">
        <v>174</v>
      </c>
      <c r="E63" t="s">
        <v>175</v>
      </c>
      <c r="F63" t="s">
        <v>176</v>
      </c>
      <c r="G63">
        <v>0.5</v>
      </c>
      <c r="H63">
        <v>25</v>
      </c>
      <c r="I63" t="s">
        <v>177</v>
      </c>
      <c r="J63" t="s">
        <v>178</v>
      </c>
      <c r="K63" t="s">
        <v>179</v>
      </c>
      <c r="L63" t="s">
        <v>180</v>
      </c>
      <c r="M63">
        <v>1017</v>
      </c>
      <c r="N63">
        <v>5.2114060963618487E-2</v>
      </c>
      <c r="O63">
        <v>0.56989247311827962</v>
      </c>
      <c r="P63">
        <v>9.5495495495495505E-2</v>
      </c>
      <c r="Q63">
        <v>2.06</v>
      </c>
      <c r="R63">
        <v>420</v>
      </c>
      <c r="S63">
        <v>420</v>
      </c>
      <c r="T63">
        <v>197305</v>
      </c>
      <c r="U63">
        <v>840</v>
      </c>
      <c r="V63">
        <v>198145</v>
      </c>
      <c r="W63">
        <v>14</v>
      </c>
      <c r="X63">
        <v>197305</v>
      </c>
      <c r="Y63">
        <v>840</v>
      </c>
      <c r="Z63">
        <v>198145</v>
      </c>
      <c r="AA63">
        <v>1681</v>
      </c>
      <c r="AB63">
        <v>1681</v>
      </c>
      <c r="AC63">
        <v>0</v>
      </c>
      <c r="AD63">
        <v>0</v>
      </c>
      <c r="AE63">
        <v>4.0000000000000001E-3</v>
      </c>
      <c r="AF63">
        <v>2.016</v>
      </c>
      <c r="AG63">
        <v>3.5999999999999997E-2</v>
      </c>
      <c r="AH63">
        <v>4.0000000000000001E-3</v>
      </c>
      <c r="AI63">
        <v>0.191</v>
      </c>
      <c r="AJ63">
        <v>1.7000000000000001E-2</v>
      </c>
      <c r="AK63">
        <v>2.1999999999999999E-2</v>
      </c>
      <c r="AL63">
        <v>0</v>
      </c>
      <c r="AM63">
        <v>3.0000000000000001E-3</v>
      </c>
      <c r="AN63">
        <v>1.498</v>
      </c>
      <c r="AO63">
        <v>2.8000000000000001E-2</v>
      </c>
      <c r="AP63">
        <v>4.0000000000000001E-3</v>
      </c>
      <c r="AQ63">
        <v>0</v>
      </c>
      <c r="AR63">
        <v>0</v>
      </c>
      <c r="AS63">
        <v>0</v>
      </c>
      <c r="AT63" t="s">
        <v>243</v>
      </c>
      <c r="AU63" t="s">
        <v>243</v>
      </c>
      <c r="AV63" t="s">
        <v>549</v>
      </c>
    </row>
    <row r="64" spans="1:102" ht="16" customHeight="1" x14ac:dyDescent="0.2">
      <c r="A64" t="s">
        <v>36</v>
      </c>
      <c r="B64" t="s">
        <v>602</v>
      </c>
      <c r="C64" t="s">
        <v>265</v>
      </c>
      <c r="D64" t="s">
        <v>174</v>
      </c>
      <c r="E64" t="s">
        <v>175</v>
      </c>
      <c r="F64" t="s">
        <v>176</v>
      </c>
      <c r="G64">
        <v>0.5</v>
      </c>
      <c r="H64">
        <v>5</v>
      </c>
      <c r="I64" t="s">
        <v>177</v>
      </c>
      <c r="J64" t="s">
        <v>178</v>
      </c>
      <c r="K64" t="s">
        <v>179</v>
      </c>
      <c r="L64" t="s">
        <v>180</v>
      </c>
      <c r="M64">
        <v>233</v>
      </c>
      <c r="N64">
        <v>0.15021459227467809</v>
      </c>
      <c r="O64">
        <v>0.37634408602150538</v>
      </c>
      <c r="P64">
        <v>0.21472392638036811</v>
      </c>
      <c r="Q64">
        <v>1.92</v>
      </c>
      <c r="R64">
        <v>84</v>
      </c>
      <c r="S64">
        <v>84</v>
      </c>
      <c r="T64">
        <v>35096</v>
      </c>
      <c r="U64">
        <v>168</v>
      </c>
      <c r="V64">
        <v>35264</v>
      </c>
      <c r="W64">
        <v>10</v>
      </c>
      <c r="X64">
        <v>35096</v>
      </c>
      <c r="Y64">
        <v>168</v>
      </c>
      <c r="Z64">
        <v>35264</v>
      </c>
      <c r="AA64">
        <v>1681</v>
      </c>
      <c r="AB64">
        <v>1681</v>
      </c>
      <c r="AC64">
        <v>0</v>
      </c>
      <c r="AD64">
        <v>0</v>
      </c>
      <c r="AE64">
        <v>4.0000000000000001E-3</v>
      </c>
      <c r="AF64">
        <v>1.88</v>
      </c>
      <c r="AG64">
        <v>1.7999999999999999E-2</v>
      </c>
      <c r="AH64">
        <v>1.6E-2</v>
      </c>
      <c r="AI64">
        <v>0.20399999999999999</v>
      </c>
      <c r="AJ64">
        <v>2.5000000000000001E-2</v>
      </c>
      <c r="AK64">
        <v>2.1000000000000001E-2</v>
      </c>
      <c r="AL64">
        <v>0</v>
      </c>
      <c r="AM64">
        <v>5.8000000000000003E-2</v>
      </c>
      <c r="AN64">
        <v>1.2729999999999999</v>
      </c>
      <c r="AO64">
        <v>4.4999999999999998E-2</v>
      </c>
      <c r="AP64">
        <v>1.6E-2</v>
      </c>
      <c r="AQ64">
        <v>0</v>
      </c>
      <c r="AR64">
        <v>0</v>
      </c>
      <c r="AS64">
        <v>0</v>
      </c>
      <c r="AT64" t="s">
        <v>243</v>
      </c>
      <c r="AU64" t="s">
        <v>243</v>
      </c>
      <c r="AV64" t="s">
        <v>549</v>
      </c>
    </row>
    <row r="65" spans="1:48" ht="16" customHeight="1" x14ac:dyDescent="0.2">
      <c r="A65" t="s">
        <v>36</v>
      </c>
      <c r="B65" t="s">
        <v>603</v>
      </c>
      <c r="C65" t="s">
        <v>265</v>
      </c>
      <c r="D65" t="s">
        <v>174</v>
      </c>
      <c r="E65" t="s">
        <v>175</v>
      </c>
      <c r="F65" t="s">
        <v>176</v>
      </c>
      <c r="G65">
        <v>0.5</v>
      </c>
      <c r="H65">
        <v>10</v>
      </c>
      <c r="I65" t="s">
        <v>177</v>
      </c>
      <c r="J65" t="s">
        <v>178</v>
      </c>
      <c r="K65" t="s">
        <v>179</v>
      </c>
      <c r="L65" t="s">
        <v>180</v>
      </c>
      <c r="M65">
        <v>299</v>
      </c>
      <c r="N65">
        <v>0.15050167224080269</v>
      </c>
      <c r="O65">
        <v>0.4838709677419355</v>
      </c>
      <c r="P65">
        <v>0.22959183673469391</v>
      </c>
      <c r="Q65">
        <v>2.41</v>
      </c>
      <c r="R65">
        <v>168</v>
      </c>
      <c r="S65">
        <v>168</v>
      </c>
      <c r="T65">
        <v>73246</v>
      </c>
      <c r="U65">
        <v>336</v>
      </c>
      <c r="V65">
        <v>73582</v>
      </c>
      <c r="W65">
        <v>10</v>
      </c>
      <c r="X65">
        <v>73246</v>
      </c>
      <c r="Y65">
        <v>336</v>
      </c>
      <c r="Z65">
        <v>73582</v>
      </c>
      <c r="AA65">
        <v>1681</v>
      </c>
      <c r="AB65">
        <v>1681</v>
      </c>
      <c r="AC65">
        <v>0</v>
      </c>
      <c r="AD65">
        <v>0</v>
      </c>
      <c r="AE65">
        <v>5.0000000000000001E-3</v>
      </c>
      <c r="AF65">
        <v>2.3580000000000001</v>
      </c>
      <c r="AG65">
        <v>4.3999999999999997E-2</v>
      </c>
      <c r="AH65">
        <v>4.0000000000000001E-3</v>
      </c>
      <c r="AI65">
        <v>0.17599999999999999</v>
      </c>
      <c r="AJ65">
        <v>2.7E-2</v>
      </c>
      <c r="AK65">
        <v>4.5999999999999999E-2</v>
      </c>
      <c r="AL65">
        <v>0</v>
      </c>
      <c r="AM65">
        <v>6.9000000000000006E-2</v>
      </c>
      <c r="AN65">
        <v>1.762</v>
      </c>
      <c r="AO65">
        <v>3.3000000000000002E-2</v>
      </c>
      <c r="AP65">
        <v>4.0000000000000001E-3</v>
      </c>
      <c r="AQ65">
        <v>0</v>
      </c>
      <c r="AR65">
        <v>0</v>
      </c>
      <c r="AS65">
        <v>0</v>
      </c>
      <c r="AT65" t="s">
        <v>243</v>
      </c>
      <c r="AU65" t="s">
        <v>243</v>
      </c>
      <c r="AV65" t="s">
        <v>549</v>
      </c>
    </row>
    <row r="66" spans="1:48" ht="16" customHeight="1" x14ac:dyDescent="0.2">
      <c r="A66" t="s">
        <v>36</v>
      </c>
      <c r="B66" t="s">
        <v>604</v>
      </c>
      <c r="C66" t="s">
        <v>265</v>
      </c>
      <c r="D66" t="s">
        <v>174</v>
      </c>
      <c r="E66" t="s">
        <v>175</v>
      </c>
      <c r="F66" t="s">
        <v>176</v>
      </c>
      <c r="G66">
        <v>0.5</v>
      </c>
      <c r="H66">
        <v>15</v>
      </c>
      <c r="I66" t="s">
        <v>177</v>
      </c>
      <c r="J66" t="s">
        <v>178</v>
      </c>
      <c r="K66" t="s">
        <v>179</v>
      </c>
      <c r="L66" t="s">
        <v>180</v>
      </c>
      <c r="M66">
        <v>308</v>
      </c>
      <c r="N66">
        <v>0.1103896103896104</v>
      </c>
      <c r="O66">
        <v>0.36559139784946237</v>
      </c>
      <c r="P66">
        <v>0.16957605985037411</v>
      </c>
      <c r="Q66">
        <v>2.93</v>
      </c>
      <c r="R66">
        <v>252</v>
      </c>
      <c r="S66">
        <v>252</v>
      </c>
      <c r="T66">
        <v>111624</v>
      </c>
      <c r="U66">
        <v>504</v>
      </c>
      <c r="V66">
        <v>112128</v>
      </c>
      <c r="W66">
        <v>10</v>
      </c>
      <c r="X66">
        <v>111624</v>
      </c>
      <c r="Y66">
        <v>504</v>
      </c>
      <c r="Z66">
        <v>112128</v>
      </c>
      <c r="AA66">
        <v>1681</v>
      </c>
      <c r="AB66">
        <v>1681</v>
      </c>
      <c r="AC66">
        <v>0</v>
      </c>
      <c r="AD66">
        <v>0</v>
      </c>
      <c r="AE66">
        <v>6.0000000000000001E-3</v>
      </c>
      <c r="AF66">
        <v>2.9009999999999998</v>
      </c>
      <c r="AG66">
        <v>1.0999999999999999E-2</v>
      </c>
      <c r="AH66">
        <v>7.0000000000000001E-3</v>
      </c>
      <c r="AI66">
        <v>0.25</v>
      </c>
      <c r="AJ66">
        <v>1.6E-2</v>
      </c>
      <c r="AK66">
        <v>3.9E-2</v>
      </c>
      <c r="AL66">
        <v>0</v>
      </c>
      <c r="AM66">
        <v>0.13</v>
      </c>
      <c r="AN66">
        <v>2.2040000000000002</v>
      </c>
      <c r="AO66">
        <v>4.5999999999999999E-2</v>
      </c>
      <c r="AP66">
        <v>7.0000000000000001E-3</v>
      </c>
      <c r="AQ66">
        <v>0</v>
      </c>
      <c r="AR66">
        <v>0</v>
      </c>
      <c r="AS66">
        <v>0</v>
      </c>
      <c r="AT66" t="s">
        <v>243</v>
      </c>
      <c r="AU66" t="s">
        <v>243</v>
      </c>
      <c r="AV66" t="s">
        <v>549</v>
      </c>
    </row>
    <row r="67" spans="1:48" ht="16" customHeight="1" x14ac:dyDescent="0.2">
      <c r="A67" t="s">
        <v>36</v>
      </c>
      <c r="B67" t="s">
        <v>605</v>
      </c>
      <c r="C67" t="s">
        <v>265</v>
      </c>
      <c r="D67" t="s">
        <v>174</v>
      </c>
      <c r="E67" t="s">
        <v>175</v>
      </c>
      <c r="F67" t="s">
        <v>176</v>
      </c>
      <c r="G67">
        <v>0.5</v>
      </c>
      <c r="H67">
        <v>20</v>
      </c>
      <c r="I67" t="s">
        <v>177</v>
      </c>
      <c r="J67" t="s">
        <v>178</v>
      </c>
      <c r="K67" t="s">
        <v>179</v>
      </c>
      <c r="L67" t="s">
        <v>180</v>
      </c>
      <c r="M67">
        <v>403</v>
      </c>
      <c r="N67">
        <v>0.1215880893300248</v>
      </c>
      <c r="O67">
        <v>0.5268817204301075</v>
      </c>
      <c r="P67">
        <v>0.19758064516129031</v>
      </c>
      <c r="Q67">
        <v>3.13</v>
      </c>
      <c r="R67">
        <v>336</v>
      </c>
      <c r="S67">
        <v>336</v>
      </c>
      <c r="T67">
        <v>144738</v>
      </c>
      <c r="U67">
        <v>672</v>
      </c>
      <c r="V67">
        <v>145410</v>
      </c>
      <c r="W67">
        <v>20</v>
      </c>
      <c r="X67">
        <v>144738</v>
      </c>
      <c r="Y67">
        <v>672</v>
      </c>
      <c r="Z67">
        <v>145410</v>
      </c>
      <c r="AA67">
        <v>1681</v>
      </c>
      <c r="AB67">
        <v>1681</v>
      </c>
      <c r="AC67">
        <v>0</v>
      </c>
      <c r="AD67">
        <v>0</v>
      </c>
      <c r="AE67">
        <v>4.0000000000000001E-3</v>
      </c>
      <c r="AF67">
        <v>3.0950000000000002</v>
      </c>
      <c r="AG67">
        <v>1.7000000000000001E-2</v>
      </c>
      <c r="AH67">
        <v>0.01</v>
      </c>
      <c r="AI67">
        <v>0.16300000000000001</v>
      </c>
      <c r="AJ67">
        <v>1.6E-2</v>
      </c>
      <c r="AK67">
        <v>2.5999999999999999E-2</v>
      </c>
      <c r="AL67">
        <v>0</v>
      </c>
      <c r="AM67">
        <v>0.161</v>
      </c>
      <c r="AN67">
        <v>2.5249999999999999</v>
      </c>
      <c r="AO67">
        <v>3.7999999999999999E-2</v>
      </c>
      <c r="AP67">
        <v>0.01</v>
      </c>
      <c r="AQ67">
        <v>0</v>
      </c>
      <c r="AR67">
        <v>0</v>
      </c>
      <c r="AS67">
        <v>0</v>
      </c>
      <c r="AT67" t="s">
        <v>243</v>
      </c>
      <c r="AU67" t="s">
        <v>243</v>
      </c>
      <c r="AV67" t="s">
        <v>549</v>
      </c>
    </row>
    <row r="68" spans="1:48" ht="16" customHeight="1" x14ac:dyDescent="0.2">
      <c r="A68" t="s">
        <v>36</v>
      </c>
      <c r="B68" t="s">
        <v>606</v>
      </c>
      <c r="C68" t="s">
        <v>265</v>
      </c>
      <c r="D68" t="s">
        <v>174</v>
      </c>
      <c r="E68" t="s">
        <v>175</v>
      </c>
      <c r="F68" t="s">
        <v>176</v>
      </c>
      <c r="G68">
        <v>0.5</v>
      </c>
      <c r="H68">
        <v>25</v>
      </c>
      <c r="I68" t="s">
        <v>177</v>
      </c>
      <c r="J68" t="s">
        <v>178</v>
      </c>
      <c r="K68" t="s">
        <v>179</v>
      </c>
      <c r="L68" t="s">
        <v>180</v>
      </c>
      <c r="M68">
        <v>602</v>
      </c>
      <c r="N68">
        <v>9.9667774086378738E-2</v>
      </c>
      <c r="O68">
        <v>0.64516129032258063</v>
      </c>
      <c r="P68">
        <v>0.1726618705035971</v>
      </c>
      <c r="Q68">
        <v>3.02</v>
      </c>
      <c r="R68">
        <v>420</v>
      </c>
      <c r="S68">
        <v>420</v>
      </c>
      <c r="T68">
        <v>176836</v>
      </c>
      <c r="U68">
        <v>840</v>
      </c>
      <c r="V68">
        <v>177676</v>
      </c>
      <c r="W68">
        <v>20</v>
      </c>
      <c r="X68">
        <v>176836</v>
      </c>
      <c r="Y68">
        <v>840</v>
      </c>
      <c r="Z68">
        <v>177676</v>
      </c>
      <c r="AA68">
        <v>1681</v>
      </c>
      <c r="AB68">
        <v>1681</v>
      </c>
      <c r="AC68">
        <v>0</v>
      </c>
      <c r="AD68">
        <v>0</v>
      </c>
      <c r="AE68">
        <v>5.0000000000000001E-3</v>
      </c>
      <c r="AF68">
        <v>2.9649999999999999</v>
      </c>
      <c r="AG68">
        <v>2.5000000000000001E-2</v>
      </c>
      <c r="AH68">
        <v>2.1000000000000001E-2</v>
      </c>
      <c r="AI68">
        <v>0.19400000000000001</v>
      </c>
      <c r="AJ68">
        <v>7.0000000000000001E-3</v>
      </c>
      <c r="AK68">
        <v>0.04</v>
      </c>
      <c r="AL68">
        <v>0</v>
      </c>
      <c r="AM68">
        <v>0.11600000000000001</v>
      </c>
      <c r="AN68">
        <v>2.3679999999999999</v>
      </c>
      <c r="AO68">
        <v>9.2999999999999999E-2</v>
      </c>
      <c r="AP68">
        <v>2.1000000000000001E-2</v>
      </c>
      <c r="AQ68">
        <v>0</v>
      </c>
      <c r="AR68">
        <v>0</v>
      </c>
      <c r="AS68">
        <v>0</v>
      </c>
      <c r="AT68" t="s">
        <v>243</v>
      </c>
      <c r="AU68" t="s">
        <v>243</v>
      </c>
      <c r="AV68" t="s">
        <v>549</v>
      </c>
    </row>
    <row r="69" spans="1:48" ht="16" customHeight="1" x14ac:dyDescent="0.2">
      <c r="A69" t="s">
        <v>37</v>
      </c>
      <c r="B69" t="s">
        <v>607</v>
      </c>
      <c r="C69" t="s">
        <v>548</v>
      </c>
      <c r="D69" t="s">
        <v>174</v>
      </c>
      <c r="E69" t="s">
        <v>175</v>
      </c>
      <c r="F69" t="s">
        <v>176</v>
      </c>
      <c r="G69">
        <v>0.5</v>
      </c>
      <c r="H69">
        <v>5</v>
      </c>
      <c r="I69" t="s">
        <v>177</v>
      </c>
      <c r="J69" t="s">
        <v>178</v>
      </c>
      <c r="K69" t="s">
        <v>179</v>
      </c>
      <c r="L69" t="s">
        <v>180</v>
      </c>
      <c r="M69">
        <v>202</v>
      </c>
      <c r="N69">
        <v>9.9009900990099011E-3</v>
      </c>
      <c r="O69">
        <v>0.5</v>
      </c>
      <c r="P69">
        <v>1.9417475728155342E-2</v>
      </c>
      <c r="Q69">
        <v>18.899999999999999</v>
      </c>
      <c r="R69">
        <v>50</v>
      </c>
      <c r="S69">
        <v>50</v>
      </c>
      <c r="T69">
        <v>204896</v>
      </c>
      <c r="U69">
        <v>100</v>
      </c>
      <c r="V69">
        <v>204996</v>
      </c>
      <c r="W69">
        <v>50</v>
      </c>
      <c r="X69">
        <v>204896</v>
      </c>
      <c r="Y69">
        <v>100</v>
      </c>
      <c r="Z69">
        <v>204996</v>
      </c>
      <c r="AA69">
        <v>1000</v>
      </c>
      <c r="AB69">
        <v>1000</v>
      </c>
      <c r="AC69">
        <v>0</v>
      </c>
      <c r="AD69">
        <v>0</v>
      </c>
      <c r="AE69">
        <v>4.0000000000000001E-3</v>
      </c>
      <c r="AF69">
        <v>18.884</v>
      </c>
      <c r="AG69">
        <v>8.0000000000000002E-3</v>
      </c>
      <c r="AH69">
        <v>7.0000000000000001E-3</v>
      </c>
      <c r="AI69">
        <v>0.22700000000000001</v>
      </c>
      <c r="AJ69">
        <v>1E-3</v>
      </c>
      <c r="AK69">
        <v>2.1000000000000001E-2</v>
      </c>
      <c r="AL69">
        <v>0</v>
      </c>
      <c r="AM69">
        <v>0</v>
      </c>
      <c r="AN69">
        <v>18.329999999999998</v>
      </c>
      <c r="AO69">
        <v>7.6999999999999999E-2</v>
      </c>
      <c r="AP69">
        <v>7.0000000000000001E-3</v>
      </c>
      <c r="AQ69">
        <v>0</v>
      </c>
      <c r="AR69">
        <v>0</v>
      </c>
      <c r="AS69">
        <v>0</v>
      </c>
      <c r="AT69" t="s">
        <v>243</v>
      </c>
      <c r="AU69" t="s">
        <v>243</v>
      </c>
      <c r="AV69" t="s">
        <v>549</v>
      </c>
    </row>
    <row r="70" spans="1:48" ht="16" customHeight="1" x14ac:dyDescent="0.2">
      <c r="A70" t="s">
        <v>37</v>
      </c>
      <c r="B70" t="s">
        <v>608</v>
      </c>
      <c r="C70" t="s">
        <v>548</v>
      </c>
      <c r="D70" t="s">
        <v>174</v>
      </c>
      <c r="E70" t="s">
        <v>175</v>
      </c>
      <c r="F70" t="s">
        <v>176</v>
      </c>
      <c r="G70">
        <v>0.5</v>
      </c>
      <c r="H70">
        <v>10</v>
      </c>
      <c r="I70" t="s">
        <v>177</v>
      </c>
      <c r="J70" t="s">
        <v>178</v>
      </c>
      <c r="K70" t="s">
        <v>179</v>
      </c>
      <c r="L70" t="s">
        <v>180</v>
      </c>
      <c r="M70">
        <v>168</v>
      </c>
      <c r="N70">
        <v>1.1904761904761901E-2</v>
      </c>
      <c r="O70">
        <v>0.5</v>
      </c>
      <c r="P70">
        <v>2.3255813953488368E-2</v>
      </c>
      <c r="Q70">
        <v>31.3</v>
      </c>
      <c r="R70">
        <v>100</v>
      </c>
      <c r="S70">
        <v>100</v>
      </c>
      <c r="T70">
        <v>428994</v>
      </c>
      <c r="U70">
        <v>200</v>
      </c>
      <c r="V70">
        <v>429194</v>
      </c>
      <c r="W70">
        <v>100</v>
      </c>
      <c r="X70">
        <v>428994</v>
      </c>
      <c r="Y70">
        <v>200</v>
      </c>
      <c r="Z70">
        <v>429194</v>
      </c>
      <c r="AA70">
        <v>1000</v>
      </c>
      <c r="AB70">
        <v>1000</v>
      </c>
      <c r="AC70">
        <v>0</v>
      </c>
      <c r="AD70">
        <v>0</v>
      </c>
      <c r="AE70">
        <v>3.0000000000000001E-3</v>
      </c>
      <c r="AF70">
        <v>31.27</v>
      </c>
      <c r="AG70">
        <v>2.4E-2</v>
      </c>
      <c r="AH70">
        <v>3.0000000000000001E-3</v>
      </c>
      <c r="AI70">
        <v>0.14599999999999999</v>
      </c>
      <c r="AJ70">
        <v>1E-3</v>
      </c>
      <c r="AK70">
        <v>0.02</v>
      </c>
      <c r="AL70">
        <v>0</v>
      </c>
      <c r="AM70">
        <v>1E-3</v>
      </c>
      <c r="AN70">
        <v>30.850999999999999</v>
      </c>
      <c r="AO70">
        <v>2.7E-2</v>
      </c>
      <c r="AP70">
        <v>3.0000000000000001E-3</v>
      </c>
      <c r="AQ70">
        <v>0</v>
      </c>
      <c r="AR70">
        <v>0</v>
      </c>
      <c r="AS70">
        <v>0</v>
      </c>
      <c r="AT70" t="s">
        <v>243</v>
      </c>
      <c r="AU70" t="s">
        <v>243</v>
      </c>
      <c r="AV70" t="s">
        <v>549</v>
      </c>
    </row>
    <row r="71" spans="1:48" ht="16" customHeight="1" x14ac:dyDescent="0.2">
      <c r="A71" t="s">
        <v>37</v>
      </c>
      <c r="B71" t="s">
        <v>609</v>
      </c>
      <c r="C71" t="s">
        <v>548</v>
      </c>
      <c r="D71" t="s">
        <v>174</v>
      </c>
      <c r="E71" t="s">
        <v>175</v>
      </c>
      <c r="F71" t="s">
        <v>176</v>
      </c>
      <c r="G71">
        <v>0.5</v>
      </c>
      <c r="H71">
        <v>15</v>
      </c>
      <c r="I71" t="s">
        <v>177</v>
      </c>
      <c r="J71" t="s">
        <v>178</v>
      </c>
      <c r="K71" t="s">
        <v>179</v>
      </c>
      <c r="L71" t="s">
        <v>180</v>
      </c>
      <c r="M71">
        <v>80</v>
      </c>
      <c r="N71">
        <v>3.7499999999999999E-2</v>
      </c>
      <c r="O71">
        <v>0.75</v>
      </c>
      <c r="P71">
        <v>7.1428571428571425E-2</v>
      </c>
      <c r="Q71">
        <v>45.41</v>
      </c>
      <c r="R71">
        <v>150</v>
      </c>
      <c r="S71">
        <v>150</v>
      </c>
      <c r="T71">
        <v>639405</v>
      </c>
      <c r="U71">
        <v>300</v>
      </c>
      <c r="V71">
        <v>639705</v>
      </c>
      <c r="W71">
        <v>150</v>
      </c>
      <c r="X71">
        <v>639405</v>
      </c>
      <c r="Y71">
        <v>300</v>
      </c>
      <c r="Z71">
        <v>639705</v>
      </c>
      <c r="AA71">
        <v>1000</v>
      </c>
      <c r="AB71">
        <v>1000</v>
      </c>
      <c r="AC71">
        <v>0</v>
      </c>
      <c r="AD71">
        <v>0</v>
      </c>
      <c r="AE71">
        <v>4.0000000000000001E-3</v>
      </c>
      <c r="AF71">
        <v>45.393000000000001</v>
      </c>
      <c r="AG71">
        <v>1.0999999999999999E-2</v>
      </c>
      <c r="AH71">
        <v>2E-3</v>
      </c>
      <c r="AI71">
        <v>0.20200000000000001</v>
      </c>
      <c r="AJ71">
        <v>2E-3</v>
      </c>
      <c r="AK71">
        <v>2.3E-2</v>
      </c>
      <c r="AL71">
        <v>0</v>
      </c>
      <c r="AM71">
        <v>0</v>
      </c>
      <c r="AN71">
        <v>45.023000000000003</v>
      </c>
      <c r="AO71">
        <v>2.1999999999999999E-2</v>
      </c>
      <c r="AP71">
        <v>2E-3</v>
      </c>
      <c r="AQ71">
        <v>0</v>
      </c>
      <c r="AR71">
        <v>0</v>
      </c>
      <c r="AS71">
        <v>0</v>
      </c>
      <c r="AT71" t="s">
        <v>243</v>
      </c>
      <c r="AU71" t="s">
        <v>243</v>
      </c>
      <c r="AV71" t="s">
        <v>549</v>
      </c>
    </row>
    <row r="72" spans="1:48" ht="16" customHeight="1" x14ac:dyDescent="0.2">
      <c r="A72" t="s">
        <v>37</v>
      </c>
      <c r="B72" t="s">
        <v>610</v>
      </c>
      <c r="C72" t="s">
        <v>548</v>
      </c>
      <c r="D72" t="s">
        <v>174</v>
      </c>
      <c r="E72" t="s">
        <v>175</v>
      </c>
      <c r="F72" t="s">
        <v>176</v>
      </c>
      <c r="G72">
        <v>0.5</v>
      </c>
      <c r="H72">
        <v>20</v>
      </c>
      <c r="I72" t="s">
        <v>177</v>
      </c>
      <c r="J72" t="s">
        <v>178</v>
      </c>
      <c r="K72" t="s">
        <v>179</v>
      </c>
      <c r="L72" t="s">
        <v>180</v>
      </c>
      <c r="M72">
        <v>67</v>
      </c>
      <c r="N72">
        <v>4.4776119402985072E-2</v>
      </c>
      <c r="O72">
        <v>0.75</v>
      </c>
      <c r="P72">
        <v>8.4507042253521125E-2</v>
      </c>
      <c r="Q72">
        <v>50.82</v>
      </c>
      <c r="R72">
        <v>200</v>
      </c>
      <c r="S72">
        <v>200</v>
      </c>
      <c r="T72">
        <v>842294</v>
      </c>
      <c r="U72">
        <v>400</v>
      </c>
      <c r="V72">
        <v>842694</v>
      </c>
      <c r="W72">
        <v>200</v>
      </c>
      <c r="X72">
        <v>842294</v>
      </c>
      <c r="Y72">
        <v>400</v>
      </c>
      <c r="Z72">
        <v>842694</v>
      </c>
      <c r="AA72">
        <v>1000</v>
      </c>
      <c r="AB72">
        <v>1000</v>
      </c>
      <c r="AC72">
        <v>0</v>
      </c>
      <c r="AD72">
        <v>0</v>
      </c>
      <c r="AE72">
        <v>3.0000000000000001E-3</v>
      </c>
      <c r="AF72">
        <v>50.798000000000002</v>
      </c>
      <c r="AG72">
        <v>1.7000000000000001E-2</v>
      </c>
      <c r="AH72">
        <v>2E-3</v>
      </c>
      <c r="AI72">
        <v>0.14299999999999999</v>
      </c>
      <c r="AJ72">
        <v>2E-3</v>
      </c>
      <c r="AK72">
        <v>2.3E-2</v>
      </c>
      <c r="AL72">
        <v>0</v>
      </c>
      <c r="AM72">
        <v>7.0000000000000001E-3</v>
      </c>
      <c r="AN72">
        <v>50.481999999999999</v>
      </c>
      <c r="AO72">
        <v>0.02</v>
      </c>
      <c r="AP72">
        <v>2E-3</v>
      </c>
      <c r="AQ72">
        <v>0</v>
      </c>
      <c r="AR72">
        <v>0</v>
      </c>
      <c r="AS72">
        <v>0</v>
      </c>
      <c r="AT72" t="s">
        <v>243</v>
      </c>
      <c r="AU72" t="s">
        <v>243</v>
      </c>
      <c r="AV72" t="s">
        <v>549</v>
      </c>
    </row>
    <row r="73" spans="1:48" ht="16" customHeight="1" x14ac:dyDescent="0.2">
      <c r="A73" t="s">
        <v>37</v>
      </c>
      <c r="B73" t="s">
        <v>611</v>
      </c>
      <c r="C73" t="s">
        <v>548</v>
      </c>
      <c r="D73" t="s">
        <v>174</v>
      </c>
      <c r="E73" t="s">
        <v>175</v>
      </c>
      <c r="F73" t="s">
        <v>176</v>
      </c>
      <c r="G73">
        <v>0.5</v>
      </c>
      <c r="H73">
        <v>25</v>
      </c>
      <c r="I73" t="s">
        <v>177</v>
      </c>
      <c r="J73" t="s">
        <v>178</v>
      </c>
      <c r="K73" t="s">
        <v>179</v>
      </c>
      <c r="L73" t="s">
        <v>180</v>
      </c>
      <c r="M73">
        <v>76</v>
      </c>
      <c r="N73">
        <v>3.9473684210526307E-2</v>
      </c>
      <c r="O73">
        <v>0.75</v>
      </c>
      <c r="P73">
        <v>7.4999999999999997E-2</v>
      </c>
      <c r="Q73">
        <v>65.83</v>
      </c>
      <c r="R73">
        <v>250</v>
      </c>
      <c r="S73">
        <v>250</v>
      </c>
      <c r="T73">
        <v>1041583</v>
      </c>
      <c r="U73">
        <v>500</v>
      </c>
      <c r="V73">
        <v>1042083</v>
      </c>
      <c r="W73">
        <v>250</v>
      </c>
      <c r="X73">
        <v>1041583</v>
      </c>
      <c r="Y73">
        <v>500</v>
      </c>
      <c r="Z73">
        <v>1042083</v>
      </c>
      <c r="AA73">
        <v>1000</v>
      </c>
      <c r="AB73">
        <v>1000</v>
      </c>
      <c r="AC73">
        <v>0</v>
      </c>
      <c r="AD73">
        <v>0</v>
      </c>
      <c r="AE73">
        <v>3.0000000000000001E-3</v>
      </c>
      <c r="AF73">
        <v>65.798000000000002</v>
      </c>
      <c r="AG73">
        <v>2.3E-2</v>
      </c>
      <c r="AH73">
        <v>3.0000000000000001E-3</v>
      </c>
      <c r="AI73">
        <v>0.13400000000000001</v>
      </c>
      <c r="AJ73">
        <v>1E-3</v>
      </c>
      <c r="AK73">
        <v>2.3E-2</v>
      </c>
      <c r="AL73">
        <v>0</v>
      </c>
      <c r="AM73">
        <v>1E-3</v>
      </c>
      <c r="AN73">
        <v>65.444000000000003</v>
      </c>
      <c r="AO73">
        <v>1.6E-2</v>
      </c>
      <c r="AP73">
        <v>3.0000000000000001E-3</v>
      </c>
      <c r="AQ73">
        <v>0</v>
      </c>
      <c r="AR73">
        <v>0</v>
      </c>
      <c r="AS73">
        <v>0</v>
      </c>
      <c r="AT73" t="s">
        <v>243</v>
      </c>
      <c r="AU73" t="s">
        <v>243</v>
      </c>
      <c r="AV73" t="s">
        <v>549</v>
      </c>
    </row>
    <row r="74" spans="1:48" ht="16" customHeight="1" x14ac:dyDescent="0.2">
      <c r="A74" t="s">
        <v>37</v>
      </c>
      <c r="B74" t="s">
        <v>612</v>
      </c>
      <c r="C74" t="s">
        <v>265</v>
      </c>
      <c r="D74" t="s">
        <v>174</v>
      </c>
      <c r="E74" t="s">
        <v>175</v>
      </c>
      <c r="F74" t="s">
        <v>176</v>
      </c>
      <c r="G74">
        <v>0.5</v>
      </c>
      <c r="H74">
        <v>5</v>
      </c>
      <c r="I74" t="s">
        <v>177</v>
      </c>
      <c r="J74" t="s">
        <v>178</v>
      </c>
      <c r="K74" t="s">
        <v>179</v>
      </c>
      <c r="L74" t="s">
        <v>180</v>
      </c>
      <c r="M74">
        <v>57</v>
      </c>
      <c r="N74">
        <v>3.5087719298245612E-2</v>
      </c>
      <c r="O74">
        <v>0.5</v>
      </c>
      <c r="P74">
        <v>6.5573770491803282E-2</v>
      </c>
      <c r="Q74">
        <v>16.8</v>
      </c>
      <c r="R74">
        <v>50</v>
      </c>
      <c r="S74">
        <v>50</v>
      </c>
      <c r="T74">
        <v>205027</v>
      </c>
      <c r="U74">
        <v>100</v>
      </c>
      <c r="V74">
        <v>205127</v>
      </c>
      <c r="W74">
        <v>50</v>
      </c>
      <c r="X74">
        <v>205027</v>
      </c>
      <c r="Y74">
        <v>100</v>
      </c>
      <c r="Z74">
        <v>205127</v>
      </c>
      <c r="AA74">
        <v>1000</v>
      </c>
      <c r="AB74">
        <v>1000</v>
      </c>
      <c r="AC74">
        <v>0</v>
      </c>
      <c r="AD74">
        <v>0</v>
      </c>
      <c r="AE74">
        <v>3.0000000000000001E-3</v>
      </c>
      <c r="AF74">
        <v>16.782</v>
      </c>
      <c r="AG74">
        <v>7.0000000000000001E-3</v>
      </c>
      <c r="AH74">
        <v>3.0000000000000001E-3</v>
      </c>
      <c r="AI74">
        <v>0.125</v>
      </c>
      <c r="AJ74">
        <v>2E-3</v>
      </c>
      <c r="AK74">
        <v>0.24299999999999999</v>
      </c>
      <c r="AL74">
        <v>0</v>
      </c>
      <c r="AM74">
        <v>4.4999999999999998E-2</v>
      </c>
      <c r="AN74">
        <v>16.096</v>
      </c>
      <c r="AO74">
        <v>4.7E-2</v>
      </c>
      <c r="AP74">
        <v>3.0000000000000001E-3</v>
      </c>
      <c r="AQ74">
        <v>0</v>
      </c>
      <c r="AR74">
        <v>0</v>
      </c>
      <c r="AS74">
        <v>0</v>
      </c>
      <c r="AT74" t="s">
        <v>243</v>
      </c>
      <c r="AU74" t="s">
        <v>243</v>
      </c>
      <c r="AV74" t="s">
        <v>549</v>
      </c>
    </row>
    <row r="75" spans="1:48" ht="16" customHeight="1" x14ac:dyDescent="0.2">
      <c r="A75" t="s">
        <v>37</v>
      </c>
      <c r="B75" t="s">
        <v>613</v>
      </c>
      <c r="C75" t="s">
        <v>265</v>
      </c>
      <c r="D75" t="s">
        <v>174</v>
      </c>
      <c r="E75" t="s">
        <v>175</v>
      </c>
      <c r="F75" t="s">
        <v>176</v>
      </c>
      <c r="G75">
        <v>0.5</v>
      </c>
      <c r="H75">
        <v>10</v>
      </c>
      <c r="I75" t="s">
        <v>177</v>
      </c>
      <c r="J75" t="s">
        <v>178</v>
      </c>
      <c r="K75" t="s">
        <v>179</v>
      </c>
      <c r="L75" t="s">
        <v>180</v>
      </c>
      <c r="M75">
        <v>45</v>
      </c>
      <c r="N75">
        <v>6.6666666666666666E-2</v>
      </c>
      <c r="O75">
        <v>0.75</v>
      </c>
      <c r="P75">
        <v>0.1224489795918367</v>
      </c>
      <c r="Q75">
        <v>38.83</v>
      </c>
      <c r="R75">
        <v>100</v>
      </c>
      <c r="S75">
        <v>100</v>
      </c>
      <c r="T75">
        <v>433420</v>
      </c>
      <c r="U75">
        <v>200</v>
      </c>
      <c r="V75">
        <v>433620</v>
      </c>
      <c r="W75">
        <v>100</v>
      </c>
      <c r="X75">
        <v>433420</v>
      </c>
      <c r="Y75">
        <v>200</v>
      </c>
      <c r="Z75">
        <v>433620</v>
      </c>
      <c r="AA75">
        <v>1000</v>
      </c>
      <c r="AB75">
        <v>1000</v>
      </c>
      <c r="AC75">
        <v>0</v>
      </c>
      <c r="AD75">
        <v>0</v>
      </c>
      <c r="AE75">
        <v>3.0000000000000001E-3</v>
      </c>
      <c r="AF75">
        <v>38.811999999999998</v>
      </c>
      <c r="AG75">
        <v>8.9999999999999993E-3</v>
      </c>
      <c r="AH75">
        <v>6.0000000000000001E-3</v>
      </c>
      <c r="AI75">
        <v>0.129</v>
      </c>
      <c r="AJ75">
        <v>1E-3</v>
      </c>
      <c r="AK75">
        <v>2.1000000000000001E-2</v>
      </c>
      <c r="AL75">
        <v>0</v>
      </c>
      <c r="AM75">
        <v>5.8000000000000003E-2</v>
      </c>
      <c r="AN75">
        <v>38.398000000000003</v>
      </c>
      <c r="AO75">
        <v>2.1000000000000001E-2</v>
      </c>
      <c r="AP75">
        <v>6.0000000000000001E-3</v>
      </c>
      <c r="AQ75">
        <v>0</v>
      </c>
      <c r="AR75">
        <v>0</v>
      </c>
      <c r="AS75">
        <v>0</v>
      </c>
      <c r="AT75" t="s">
        <v>243</v>
      </c>
      <c r="AU75" t="s">
        <v>243</v>
      </c>
      <c r="AV75" t="s">
        <v>549</v>
      </c>
    </row>
    <row r="76" spans="1:48" ht="16" customHeight="1" x14ac:dyDescent="0.2">
      <c r="A76" t="s">
        <v>37</v>
      </c>
      <c r="B76" t="s">
        <v>614</v>
      </c>
      <c r="C76" t="s">
        <v>265</v>
      </c>
      <c r="D76" t="s">
        <v>174</v>
      </c>
      <c r="E76" t="s">
        <v>175</v>
      </c>
      <c r="F76" t="s">
        <v>176</v>
      </c>
      <c r="G76">
        <v>0.5</v>
      </c>
      <c r="H76">
        <v>15</v>
      </c>
      <c r="I76" t="s">
        <v>177</v>
      </c>
      <c r="J76" t="s">
        <v>178</v>
      </c>
      <c r="K76" t="s">
        <v>179</v>
      </c>
      <c r="L76" t="s">
        <v>180</v>
      </c>
      <c r="M76">
        <v>41</v>
      </c>
      <c r="N76">
        <v>7.3170731707317069E-2</v>
      </c>
      <c r="O76">
        <v>0.75</v>
      </c>
      <c r="P76">
        <v>0.1333333333333333</v>
      </c>
      <c r="Q76">
        <v>55.3</v>
      </c>
      <c r="R76">
        <v>150</v>
      </c>
      <c r="S76">
        <v>150</v>
      </c>
      <c r="T76">
        <v>664095</v>
      </c>
      <c r="U76">
        <v>300</v>
      </c>
      <c r="V76">
        <v>664395</v>
      </c>
      <c r="W76">
        <v>150</v>
      </c>
      <c r="X76">
        <v>664095</v>
      </c>
      <c r="Y76">
        <v>300</v>
      </c>
      <c r="Z76">
        <v>664395</v>
      </c>
      <c r="AA76">
        <v>1000</v>
      </c>
      <c r="AB76">
        <v>1000</v>
      </c>
      <c r="AC76">
        <v>0</v>
      </c>
      <c r="AD76">
        <v>0</v>
      </c>
      <c r="AE76">
        <v>3.0000000000000001E-3</v>
      </c>
      <c r="AF76">
        <v>55.29</v>
      </c>
      <c r="AG76">
        <v>7.0000000000000001E-3</v>
      </c>
      <c r="AH76">
        <v>2E-3</v>
      </c>
      <c r="AI76">
        <v>0.13300000000000001</v>
      </c>
      <c r="AJ76">
        <v>3.0000000000000001E-3</v>
      </c>
      <c r="AK76">
        <v>2.1000000000000001E-2</v>
      </c>
      <c r="AL76">
        <v>0</v>
      </c>
      <c r="AM76">
        <v>0.09</v>
      </c>
      <c r="AN76">
        <v>54.807000000000002</v>
      </c>
      <c r="AO76">
        <v>1.7000000000000001E-2</v>
      </c>
      <c r="AP76">
        <v>2E-3</v>
      </c>
      <c r="AQ76">
        <v>0</v>
      </c>
      <c r="AR76">
        <v>0</v>
      </c>
      <c r="AS76">
        <v>0</v>
      </c>
      <c r="AT76" t="s">
        <v>243</v>
      </c>
      <c r="AU76" t="s">
        <v>243</v>
      </c>
      <c r="AV76" t="s">
        <v>549</v>
      </c>
    </row>
    <row r="77" spans="1:48" ht="16" customHeight="1" x14ac:dyDescent="0.2">
      <c r="A77" t="s">
        <v>37</v>
      </c>
      <c r="B77" t="s">
        <v>615</v>
      </c>
      <c r="C77" t="s">
        <v>265</v>
      </c>
      <c r="D77" t="s">
        <v>174</v>
      </c>
      <c r="E77" t="s">
        <v>175</v>
      </c>
      <c r="F77" t="s">
        <v>176</v>
      </c>
      <c r="G77">
        <v>0.5</v>
      </c>
      <c r="H77">
        <v>20</v>
      </c>
      <c r="I77" t="s">
        <v>177</v>
      </c>
      <c r="J77" t="s">
        <v>178</v>
      </c>
      <c r="K77" t="s">
        <v>179</v>
      </c>
      <c r="L77" t="s">
        <v>180</v>
      </c>
      <c r="M77">
        <v>43</v>
      </c>
      <c r="N77">
        <v>6.9767441860465115E-2</v>
      </c>
      <c r="O77">
        <v>0.75</v>
      </c>
      <c r="P77">
        <v>0.1276595744680851</v>
      </c>
      <c r="Q77">
        <v>71.78</v>
      </c>
      <c r="R77">
        <v>200</v>
      </c>
      <c r="S77">
        <v>200</v>
      </c>
      <c r="T77">
        <v>856892</v>
      </c>
      <c r="U77">
        <v>400</v>
      </c>
      <c r="V77">
        <v>857292</v>
      </c>
      <c r="W77">
        <v>200</v>
      </c>
      <c r="X77">
        <v>856892</v>
      </c>
      <c r="Y77">
        <v>400</v>
      </c>
      <c r="Z77">
        <v>857292</v>
      </c>
      <c r="AA77">
        <v>1000</v>
      </c>
      <c r="AB77">
        <v>1000</v>
      </c>
      <c r="AC77">
        <v>0</v>
      </c>
      <c r="AD77">
        <v>0</v>
      </c>
      <c r="AE77">
        <v>3.0000000000000001E-3</v>
      </c>
      <c r="AF77">
        <v>71.75</v>
      </c>
      <c r="AG77">
        <v>1.4E-2</v>
      </c>
      <c r="AH77">
        <v>0.01</v>
      </c>
      <c r="AI77">
        <v>0.126</v>
      </c>
      <c r="AJ77">
        <v>1E-3</v>
      </c>
      <c r="AK77">
        <v>1.2E-2</v>
      </c>
      <c r="AL77">
        <v>0</v>
      </c>
      <c r="AM77">
        <v>7.6999999999999999E-2</v>
      </c>
      <c r="AN77">
        <v>71.320999999999998</v>
      </c>
      <c r="AO77">
        <v>4.2000000000000003E-2</v>
      </c>
      <c r="AP77">
        <v>0.01</v>
      </c>
      <c r="AQ77">
        <v>0</v>
      </c>
      <c r="AR77">
        <v>0</v>
      </c>
      <c r="AS77">
        <v>0</v>
      </c>
      <c r="AT77" t="s">
        <v>243</v>
      </c>
      <c r="AU77" t="s">
        <v>243</v>
      </c>
      <c r="AV77" t="s">
        <v>549</v>
      </c>
    </row>
    <row r="78" spans="1:48" ht="16" customHeight="1" x14ac:dyDescent="0.2">
      <c r="A78" t="s">
        <v>37</v>
      </c>
      <c r="B78" t="s">
        <v>616</v>
      </c>
      <c r="C78" t="s">
        <v>265</v>
      </c>
      <c r="D78" t="s">
        <v>174</v>
      </c>
      <c r="E78" t="s">
        <v>175</v>
      </c>
      <c r="F78" t="s">
        <v>176</v>
      </c>
      <c r="G78">
        <v>0.5</v>
      </c>
      <c r="H78">
        <v>25</v>
      </c>
      <c r="I78" t="s">
        <v>177</v>
      </c>
      <c r="J78" t="s">
        <v>178</v>
      </c>
      <c r="K78" t="s">
        <v>179</v>
      </c>
      <c r="L78" t="s">
        <v>180</v>
      </c>
      <c r="M78">
        <v>45</v>
      </c>
      <c r="N78">
        <v>6.6666666666666666E-2</v>
      </c>
      <c r="O78">
        <v>0.75</v>
      </c>
      <c r="P78">
        <v>0.1224489795918367</v>
      </c>
      <c r="Q78">
        <v>85.34</v>
      </c>
      <c r="R78">
        <v>250</v>
      </c>
      <c r="S78">
        <v>250</v>
      </c>
      <c r="T78">
        <v>1048467</v>
      </c>
      <c r="U78">
        <v>500</v>
      </c>
      <c r="V78">
        <v>1048967</v>
      </c>
      <c r="W78">
        <v>250</v>
      </c>
      <c r="X78">
        <v>1048467</v>
      </c>
      <c r="Y78">
        <v>500</v>
      </c>
      <c r="Z78">
        <v>1048967</v>
      </c>
      <c r="AA78">
        <v>1000</v>
      </c>
      <c r="AB78">
        <v>1000</v>
      </c>
      <c r="AC78">
        <v>0</v>
      </c>
      <c r="AD78">
        <v>0</v>
      </c>
      <c r="AE78">
        <v>3.0000000000000001E-3</v>
      </c>
      <c r="AF78">
        <v>85.322000000000003</v>
      </c>
      <c r="AG78">
        <v>0.01</v>
      </c>
      <c r="AH78">
        <v>2E-3</v>
      </c>
      <c r="AI78">
        <v>0.123</v>
      </c>
      <c r="AJ78">
        <v>1E-3</v>
      </c>
      <c r="AK78">
        <v>2.1000000000000001E-2</v>
      </c>
      <c r="AL78">
        <v>0</v>
      </c>
      <c r="AM78">
        <v>5.5E-2</v>
      </c>
      <c r="AN78">
        <v>84.960999999999999</v>
      </c>
      <c r="AO78">
        <v>1.9E-2</v>
      </c>
      <c r="AP78">
        <v>2E-3</v>
      </c>
      <c r="AQ78">
        <v>0</v>
      </c>
      <c r="AR78">
        <v>0</v>
      </c>
      <c r="AS78">
        <v>0</v>
      </c>
      <c r="AT78" t="s">
        <v>243</v>
      </c>
      <c r="AU78" t="s">
        <v>243</v>
      </c>
      <c r="AV78" t="s">
        <v>549</v>
      </c>
    </row>
    <row r="79" spans="1:48" ht="16" customHeight="1" x14ac:dyDescent="0.2">
      <c r="A79" t="s">
        <v>38</v>
      </c>
      <c r="B79" t="s">
        <v>617</v>
      </c>
      <c r="C79" t="s">
        <v>548</v>
      </c>
      <c r="D79" t="s">
        <v>174</v>
      </c>
      <c r="E79" t="s">
        <v>175</v>
      </c>
      <c r="F79" t="s">
        <v>176</v>
      </c>
      <c r="G79">
        <v>0.5</v>
      </c>
      <c r="H79">
        <v>5</v>
      </c>
      <c r="I79" t="s">
        <v>177</v>
      </c>
      <c r="J79" t="s">
        <v>178</v>
      </c>
      <c r="K79" t="s">
        <v>179</v>
      </c>
      <c r="L79" t="s">
        <v>180</v>
      </c>
      <c r="M79">
        <v>214</v>
      </c>
      <c r="N79">
        <v>3.7383177570093462E-2</v>
      </c>
      <c r="O79">
        <v>0.66666666666666663</v>
      </c>
      <c r="P79">
        <v>7.0796460176991136E-2</v>
      </c>
      <c r="Q79">
        <v>6.82</v>
      </c>
      <c r="R79">
        <v>16</v>
      </c>
      <c r="S79">
        <v>16</v>
      </c>
      <c r="T79">
        <v>93824</v>
      </c>
      <c r="U79">
        <v>32</v>
      </c>
      <c r="V79">
        <v>93856</v>
      </c>
      <c r="W79">
        <v>16</v>
      </c>
      <c r="X79">
        <v>93824</v>
      </c>
      <c r="Y79">
        <v>32</v>
      </c>
      <c r="Z79">
        <v>93856</v>
      </c>
      <c r="AA79">
        <v>306</v>
      </c>
      <c r="AB79">
        <v>306</v>
      </c>
      <c r="AC79">
        <v>0</v>
      </c>
      <c r="AD79">
        <v>0</v>
      </c>
      <c r="AE79">
        <v>2E-3</v>
      </c>
      <c r="AF79">
        <v>6.819</v>
      </c>
      <c r="AG79">
        <v>2E-3</v>
      </c>
      <c r="AH79">
        <v>1E-3</v>
      </c>
      <c r="AI79">
        <v>0.32600000000000001</v>
      </c>
      <c r="AJ79">
        <v>1E-3</v>
      </c>
      <c r="AK79">
        <v>4.0000000000000001E-3</v>
      </c>
      <c r="AL79">
        <v>0</v>
      </c>
      <c r="AM79">
        <v>0</v>
      </c>
      <c r="AN79">
        <v>6.234</v>
      </c>
      <c r="AO79">
        <v>0.02</v>
      </c>
      <c r="AP79">
        <v>1E-3</v>
      </c>
      <c r="AQ79">
        <v>0</v>
      </c>
      <c r="AR79">
        <v>0</v>
      </c>
      <c r="AS79">
        <v>0</v>
      </c>
      <c r="AT79" t="s">
        <v>243</v>
      </c>
      <c r="AU79" t="s">
        <v>243</v>
      </c>
      <c r="AV79" t="s">
        <v>549</v>
      </c>
    </row>
    <row r="80" spans="1:48" ht="16" customHeight="1" x14ac:dyDescent="0.2">
      <c r="A80" t="s">
        <v>38</v>
      </c>
      <c r="B80" t="s">
        <v>618</v>
      </c>
      <c r="C80" t="s">
        <v>548</v>
      </c>
      <c r="D80" t="s">
        <v>174</v>
      </c>
      <c r="E80" t="s">
        <v>175</v>
      </c>
      <c r="F80" t="s">
        <v>176</v>
      </c>
      <c r="G80">
        <v>0.5</v>
      </c>
      <c r="H80">
        <v>10</v>
      </c>
      <c r="I80" t="s">
        <v>177</v>
      </c>
      <c r="J80" t="s">
        <v>178</v>
      </c>
      <c r="K80" t="s">
        <v>179</v>
      </c>
      <c r="L80" t="s">
        <v>180</v>
      </c>
      <c r="M80">
        <v>194</v>
      </c>
      <c r="N80">
        <v>5.1546391752577317E-2</v>
      </c>
      <c r="O80">
        <v>0.83333333333333337</v>
      </c>
      <c r="P80">
        <v>9.7087378640776698E-2</v>
      </c>
      <c r="Q80">
        <v>5.84</v>
      </c>
      <c r="R80">
        <v>32</v>
      </c>
      <c r="S80">
        <v>32</v>
      </c>
      <c r="T80">
        <v>182308</v>
      </c>
      <c r="U80">
        <v>64</v>
      </c>
      <c r="V80">
        <v>182372</v>
      </c>
      <c r="W80">
        <v>32</v>
      </c>
      <c r="X80">
        <v>182308</v>
      </c>
      <c r="Y80">
        <v>64</v>
      </c>
      <c r="Z80">
        <v>182372</v>
      </c>
      <c r="AA80">
        <v>306</v>
      </c>
      <c r="AB80">
        <v>306</v>
      </c>
      <c r="AC80">
        <v>0</v>
      </c>
      <c r="AD80">
        <v>0</v>
      </c>
      <c r="AE80">
        <v>1E-3</v>
      </c>
      <c r="AF80">
        <v>5.8280000000000003</v>
      </c>
      <c r="AG80">
        <v>6.0000000000000001E-3</v>
      </c>
      <c r="AH80">
        <v>1E-3</v>
      </c>
      <c r="AI80">
        <v>0.314</v>
      </c>
      <c r="AJ80">
        <v>0</v>
      </c>
      <c r="AK80">
        <v>4.0000000000000001E-3</v>
      </c>
      <c r="AL80">
        <v>0</v>
      </c>
      <c r="AM80">
        <v>0</v>
      </c>
      <c r="AN80">
        <v>5.3159999999999998</v>
      </c>
      <c r="AO80">
        <v>2.9000000000000001E-2</v>
      </c>
      <c r="AP80">
        <v>1E-3</v>
      </c>
      <c r="AQ80">
        <v>0</v>
      </c>
      <c r="AR80">
        <v>0</v>
      </c>
      <c r="AS80">
        <v>0</v>
      </c>
      <c r="AT80" t="s">
        <v>243</v>
      </c>
      <c r="AU80" t="s">
        <v>243</v>
      </c>
      <c r="AV80" t="s">
        <v>549</v>
      </c>
    </row>
    <row r="81" spans="1:48" ht="16" customHeight="1" x14ac:dyDescent="0.2">
      <c r="A81" t="s">
        <v>38</v>
      </c>
      <c r="B81" t="s">
        <v>619</v>
      </c>
      <c r="C81" t="s">
        <v>548</v>
      </c>
      <c r="D81" t="s">
        <v>174</v>
      </c>
      <c r="E81" t="s">
        <v>175</v>
      </c>
      <c r="F81" t="s">
        <v>176</v>
      </c>
      <c r="G81">
        <v>0.5</v>
      </c>
      <c r="H81">
        <v>15</v>
      </c>
      <c r="I81" t="s">
        <v>177</v>
      </c>
      <c r="J81" t="s">
        <v>178</v>
      </c>
      <c r="K81" t="s">
        <v>179</v>
      </c>
      <c r="L81" t="s">
        <v>180</v>
      </c>
      <c r="M81">
        <v>132</v>
      </c>
      <c r="N81">
        <v>7.575757575757576E-2</v>
      </c>
      <c r="O81">
        <v>0.83333333333333337</v>
      </c>
      <c r="P81">
        <v>0.1388888888888889</v>
      </c>
      <c r="Q81">
        <v>6.84</v>
      </c>
      <c r="R81">
        <v>48</v>
      </c>
      <c r="S81">
        <v>48</v>
      </c>
      <c r="T81">
        <v>276132</v>
      </c>
      <c r="U81">
        <v>96</v>
      </c>
      <c r="V81">
        <v>276228</v>
      </c>
      <c r="W81">
        <v>48</v>
      </c>
      <c r="X81">
        <v>276132</v>
      </c>
      <c r="Y81">
        <v>96</v>
      </c>
      <c r="Z81">
        <v>276228</v>
      </c>
      <c r="AA81">
        <v>306</v>
      </c>
      <c r="AB81">
        <v>306</v>
      </c>
      <c r="AC81">
        <v>0</v>
      </c>
      <c r="AD81">
        <v>0</v>
      </c>
      <c r="AE81">
        <v>1E-3</v>
      </c>
      <c r="AF81">
        <v>6.83</v>
      </c>
      <c r="AG81">
        <v>5.0000000000000001E-3</v>
      </c>
      <c r="AH81">
        <v>2E-3</v>
      </c>
      <c r="AI81">
        <v>0.33600000000000002</v>
      </c>
      <c r="AJ81">
        <v>1E-3</v>
      </c>
      <c r="AK81">
        <v>4.0000000000000001E-3</v>
      </c>
      <c r="AL81">
        <v>0</v>
      </c>
      <c r="AM81">
        <v>0</v>
      </c>
      <c r="AN81">
        <v>6.2530000000000001</v>
      </c>
      <c r="AO81">
        <v>3.9E-2</v>
      </c>
      <c r="AP81">
        <v>2E-3</v>
      </c>
      <c r="AQ81">
        <v>0</v>
      </c>
      <c r="AR81">
        <v>0</v>
      </c>
      <c r="AS81">
        <v>0</v>
      </c>
      <c r="AT81" t="s">
        <v>243</v>
      </c>
      <c r="AU81" t="s">
        <v>243</v>
      </c>
      <c r="AV81" t="s">
        <v>549</v>
      </c>
    </row>
    <row r="82" spans="1:48" ht="16" customHeight="1" x14ac:dyDescent="0.2">
      <c r="A82" t="s">
        <v>38</v>
      </c>
      <c r="B82" t="s">
        <v>620</v>
      </c>
      <c r="C82" t="s">
        <v>548</v>
      </c>
      <c r="D82" t="s">
        <v>174</v>
      </c>
      <c r="E82" t="s">
        <v>175</v>
      </c>
      <c r="F82" t="s">
        <v>176</v>
      </c>
      <c r="G82">
        <v>0.5</v>
      </c>
      <c r="H82">
        <v>20</v>
      </c>
      <c r="I82" t="s">
        <v>177</v>
      </c>
      <c r="J82" t="s">
        <v>178</v>
      </c>
      <c r="K82" t="s">
        <v>179</v>
      </c>
      <c r="L82" t="s">
        <v>180</v>
      </c>
      <c r="M82">
        <v>124</v>
      </c>
      <c r="N82">
        <v>8.0645161290322578E-2</v>
      </c>
      <c r="O82">
        <v>0.83333333333333337</v>
      </c>
      <c r="P82">
        <v>0.14705882352941169</v>
      </c>
      <c r="Q82">
        <v>7.31</v>
      </c>
      <c r="R82">
        <v>64</v>
      </c>
      <c r="S82">
        <v>64</v>
      </c>
      <c r="T82">
        <v>375296</v>
      </c>
      <c r="U82">
        <v>128</v>
      </c>
      <c r="V82">
        <v>375424</v>
      </c>
      <c r="W82">
        <v>64</v>
      </c>
      <c r="X82">
        <v>375296</v>
      </c>
      <c r="Y82">
        <v>128</v>
      </c>
      <c r="Z82">
        <v>375424</v>
      </c>
      <c r="AA82">
        <v>306</v>
      </c>
      <c r="AB82">
        <v>306</v>
      </c>
      <c r="AC82">
        <v>0</v>
      </c>
      <c r="AD82">
        <v>0</v>
      </c>
      <c r="AE82">
        <v>1E-3</v>
      </c>
      <c r="AF82">
        <v>7.2939999999999996</v>
      </c>
      <c r="AG82">
        <v>0.01</v>
      </c>
      <c r="AH82">
        <v>3.0000000000000001E-3</v>
      </c>
      <c r="AI82">
        <v>0.33100000000000002</v>
      </c>
      <c r="AJ82">
        <v>0</v>
      </c>
      <c r="AK82">
        <v>4.0000000000000001E-3</v>
      </c>
      <c r="AL82">
        <v>0</v>
      </c>
      <c r="AM82">
        <v>0</v>
      </c>
      <c r="AN82">
        <v>6.7210000000000001</v>
      </c>
      <c r="AO82">
        <v>1.7999999999999999E-2</v>
      </c>
      <c r="AP82">
        <v>3.0000000000000001E-3</v>
      </c>
      <c r="AQ82">
        <v>0</v>
      </c>
      <c r="AR82">
        <v>0</v>
      </c>
      <c r="AS82">
        <v>0</v>
      </c>
      <c r="AT82" t="s">
        <v>243</v>
      </c>
      <c r="AU82" t="s">
        <v>243</v>
      </c>
      <c r="AV82" t="s">
        <v>549</v>
      </c>
    </row>
    <row r="83" spans="1:48" ht="16" customHeight="1" x14ac:dyDescent="0.2">
      <c r="A83" t="s">
        <v>38</v>
      </c>
      <c r="B83" t="s">
        <v>621</v>
      </c>
      <c r="C83" t="s">
        <v>548</v>
      </c>
      <c r="D83" t="s">
        <v>174</v>
      </c>
      <c r="E83" t="s">
        <v>175</v>
      </c>
      <c r="F83" t="s">
        <v>176</v>
      </c>
      <c r="G83">
        <v>0.5</v>
      </c>
      <c r="H83">
        <v>25</v>
      </c>
      <c r="I83" t="s">
        <v>177</v>
      </c>
      <c r="J83" t="s">
        <v>178</v>
      </c>
      <c r="K83" t="s">
        <v>179</v>
      </c>
      <c r="L83" t="s">
        <v>180</v>
      </c>
      <c r="M83">
        <v>146</v>
      </c>
      <c r="N83">
        <v>6.8493150684931503E-2</v>
      </c>
      <c r="O83">
        <v>0.83333333333333337</v>
      </c>
      <c r="P83">
        <v>0.12658227848101269</v>
      </c>
      <c r="Q83">
        <v>6.99</v>
      </c>
      <c r="R83">
        <v>81</v>
      </c>
      <c r="S83">
        <v>81</v>
      </c>
      <c r="T83">
        <v>464304</v>
      </c>
      <c r="U83">
        <v>162</v>
      </c>
      <c r="V83">
        <v>464466</v>
      </c>
      <c r="W83">
        <v>81</v>
      </c>
      <c r="X83">
        <v>464304</v>
      </c>
      <c r="Y83">
        <v>162</v>
      </c>
      <c r="Z83">
        <v>464466</v>
      </c>
      <c r="AA83">
        <v>306</v>
      </c>
      <c r="AB83">
        <v>306</v>
      </c>
      <c r="AC83">
        <v>0</v>
      </c>
      <c r="AD83">
        <v>0</v>
      </c>
      <c r="AE83">
        <v>1E-3</v>
      </c>
      <c r="AF83">
        <v>6.9660000000000002</v>
      </c>
      <c r="AG83">
        <v>1.6E-2</v>
      </c>
      <c r="AH83">
        <v>6.0000000000000001E-3</v>
      </c>
      <c r="AI83">
        <v>0.32600000000000001</v>
      </c>
      <c r="AJ83">
        <v>0</v>
      </c>
      <c r="AK83">
        <v>5.0000000000000001E-3</v>
      </c>
      <c r="AL83">
        <v>0</v>
      </c>
      <c r="AM83">
        <v>0</v>
      </c>
      <c r="AN83">
        <v>6.34</v>
      </c>
      <c r="AO83">
        <v>6.2E-2</v>
      </c>
      <c r="AP83">
        <v>6.0000000000000001E-3</v>
      </c>
      <c r="AQ83">
        <v>0</v>
      </c>
      <c r="AR83">
        <v>0</v>
      </c>
      <c r="AS83">
        <v>0</v>
      </c>
      <c r="AT83" t="s">
        <v>243</v>
      </c>
      <c r="AU83" t="s">
        <v>243</v>
      </c>
      <c r="AV83" t="s">
        <v>549</v>
      </c>
    </row>
    <row r="84" spans="1:48" ht="16" customHeight="1" x14ac:dyDescent="0.2">
      <c r="A84" t="s">
        <v>38</v>
      </c>
      <c r="B84" t="s">
        <v>622</v>
      </c>
      <c r="C84" t="s">
        <v>265</v>
      </c>
      <c r="D84" t="s">
        <v>174</v>
      </c>
      <c r="E84" t="s">
        <v>175</v>
      </c>
      <c r="F84" t="s">
        <v>176</v>
      </c>
      <c r="G84">
        <v>0.5</v>
      </c>
      <c r="H84">
        <v>5</v>
      </c>
      <c r="I84" t="s">
        <v>177</v>
      </c>
      <c r="J84" t="s">
        <v>178</v>
      </c>
      <c r="K84" t="s">
        <v>179</v>
      </c>
      <c r="L84" t="s">
        <v>180</v>
      </c>
      <c r="M84">
        <v>98</v>
      </c>
      <c r="N84">
        <v>6.1224489795918373E-2</v>
      </c>
      <c r="O84">
        <v>0.5</v>
      </c>
      <c r="P84">
        <v>0.1090909090909091</v>
      </c>
      <c r="Q84">
        <v>3.56</v>
      </c>
      <c r="R84">
        <v>16</v>
      </c>
      <c r="S84">
        <v>16</v>
      </c>
      <c r="T84">
        <v>85814</v>
      </c>
      <c r="U84">
        <v>32</v>
      </c>
      <c r="V84">
        <v>85846</v>
      </c>
      <c r="W84">
        <v>16</v>
      </c>
      <c r="X84">
        <v>85814</v>
      </c>
      <c r="Y84">
        <v>32</v>
      </c>
      <c r="Z84">
        <v>85846</v>
      </c>
      <c r="AA84">
        <v>306</v>
      </c>
      <c r="AB84">
        <v>306</v>
      </c>
      <c r="AC84">
        <v>0</v>
      </c>
      <c r="AD84">
        <v>0</v>
      </c>
      <c r="AE84">
        <v>1E-3</v>
      </c>
      <c r="AF84">
        <v>3.548</v>
      </c>
      <c r="AG84">
        <v>3.0000000000000001E-3</v>
      </c>
      <c r="AH84">
        <v>3.0000000000000001E-3</v>
      </c>
      <c r="AI84">
        <v>0.32400000000000001</v>
      </c>
      <c r="AJ84">
        <v>1E-3</v>
      </c>
      <c r="AK84">
        <v>5.0000000000000001E-3</v>
      </c>
      <c r="AL84">
        <v>0</v>
      </c>
      <c r="AM84">
        <v>6.0000000000000001E-3</v>
      </c>
      <c r="AN84">
        <v>2.9180000000000001</v>
      </c>
      <c r="AO84">
        <v>6.6000000000000003E-2</v>
      </c>
      <c r="AP84">
        <v>3.0000000000000001E-3</v>
      </c>
      <c r="AQ84">
        <v>0</v>
      </c>
      <c r="AR84">
        <v>0</v>
      </c>
      <c r="AS84">
        <v>0</v>
      </c>
      <c r="AT84" t="s">
        <v>243</v>
      </c>
      <c r="AU84" t="s">
        <v>243</v>
      </c>
      <c r="AV84" t="s">
        <v>549</v>
      </c>
    </row>
    <row r="85" spans="1:48" ht="16" customHeight="1" x14ac:dyDescent="0.2">
      <c r="A85" t="s">
        <v>38</v>
      </c>
      <c r="B85" t="s">
        <v>623</v>
      </c>
      <c r="C85" t="s">
        <v>265</v>
      </c>
      <c r="D85" t="s">
        <v>174</v>
      </c>
      <c r="E85" t="s">
        <v>175</v>
      </c>
      <c r="F85" t="s">
        <v>176</v>
      </c>
      <c r="G85">
        <v>0.5</v>
      </c>
      <c r="H85">
        <v>10</v>
      </c>
      <c r="I85" t="s">
        <v>177</v>
      </c>
      <c r="J85" t="s">
        <v>178</v>
      </c>
      <c r="K85" t="s">
        <v>179</v>
      </c>
      <c r="L85" t="s">
        <v>180</v>
      </c>
      <c r="M85">
        <v>66</v>
      </c>
      <c r="N85">
        <v>6.0606060606060608E-2</v>
      </c>
      <c r="O85">
        <v>0.33333333333333331</v>
      </c>
      <c r="P85">
        <v>0.1025641025641026</v>
      </c>
      <c r="Q85">
        <v>6.17</v>
      </c>
      <c r="R85">
        <v>32</v>
      </c>
      <c r="S85">
        <v>32</v>
      </c>
      <c r="T85">
        <v>176968</v>
      </c>
      <c r="U85">
        <v>64</v>
      </c>
      <c r="V85">
        <v>177032</v>
      </c>
      <c r="W85">
        <v>32</v>
      </c>
      <c r="X85">
        <v>176968</v>
      </c>
      <c r="Y85">
        <v>64</v>
      </c>
      <c r="Z85">
        <v>177032</v>
      </c>
      <c r="AA85">
        <v>306</v>
      </c>
      <c r="AB85">
        <v>306</v>
      </c>
      <c r="AC85">
        <v>0</v>
      </c>
      <c r="AD85">
        <v>0</v>
      </c>
      <c r="AE85">
        <v>1E-3</v>
      </c>
      <c r="AF85">
        <v>6.1639999999999997</v>
      </c>
      <c r="AG85">
        <v>4.0000000000000001E-3</v>
      </c>
      <c r="AH85">
        <v>2E-3</v>
      </c>
      <c r="AI85">
        <v>0.312</v>
      </c>
      <c r="AJ85">
        <v>1E-3</v>
      </c>
      <c r="AK85">
        <v>4.0000000000000001E-3</v>
      </c>
      <c r="AL85">
        <v>0</v>
      </c>
      <c r="AM85">
        <v>1.9E-2</v>
      </c>
      <c r="AN85">
        <v>5.5469999999999997</v>
      </c>
      <c r="AO85">
        <v>4.4999999999999998E-2</v>
      </c>
      <c r="AP85">
        <v>2E-3</v>
      </c>
      <c r="AQ85">
        <v>0</v>
      </c>
      <c r="AR85">
        <v>0</v>
      </c>
      <c r="AS85">
        <v>0</v>
      </c>
      <c r="AT85" t="s">
        <v>243</v>
      </c>
      <c r="AU85" t="s">
        <v>243</v>
      </c>
      <c r="AV85" t="s">
        <v>549</v>
      </c>
    </row>
    <row r="86" spans="1:48" ht="16" customHeight="1" x14ac:dyDescent="0.2">
      <c r="A86" t="s">
        <v>38</v>
      </c>
      <c r="B86" t="s">
        <v>624</v>
      </c>
      <c r="C86" t="s">
        <v>265</v>
      </c>
      <c r="D86" t="s">
        <v>174</v>
      </c>
      <c r="E86" t="s">
        <v>175</v>
      </c>
      <c r="F86" t="s">
        <v>176</v>
      </c>
      <c r="G86">
        <v>0.5</v>
      </c>
      <c r="H86">
        <v>15</v>
      </c>
      <c r="I86" t="s">
        <v>177</v>
      </c>
      <c r="J86" t="s">
        <v>178</v>
      </c>
      <c r="K86" t="s">
        <v>179</v>
      </c>
      <c r="L86" t="s">
        <v>180</v>
      </c>
      <c r="M86">
        <v>64</v>
      </c>
      <c r="N86">
        <v>9.375E-2</v>
      </c>
      <c r="O86">
        <v>0.5</v>
      </c>
      <c r="P86">
        <v>0.15789473684210531</v>
      </c>
      <c r="Q86">
        <v>10.15</v>
      </c>
      <c r="R86">
        <v>48</v>
      </c>
      <c r="S86">
        <v>48</v>
      </c>
      <c r="T86">
        <v>260112</v>
      </c>
      <c r="U86">
        <v>96</v>
      </c>
      <c r="V86">
        <v>260208</v>
      </c>
      <c r="W86">
        <v>48</v>
      </c>
      <c r="X86">
        <v>260112</v>
      </c>
      <c r="Y86">
        <v>96</v>
      </c>
      <c r="Z86">
        <v>260208</v>
      </c>
      <c r="AA86">
        <v>306</v>
      </c>
      <c r="AB86">
        <v>306</v>
      </c>
      <c r="AC86">
        <v>0</v>
      </c>
      <c r="AD86">
        <v>0</v>
      </c>
      <c r="AE86">
        <v>1E-3</v>
      </c>
      <c r="AF86">
        <v>10.138999999999999</v>
      </c>
      <c r="AG86">
        <v>4.0000000000000001E-3</v>
      </c>
      <c r="AH86">
        <v>1E-3</v>
      </c>
      <c r="AI86">
        <v>0.31900000000000001</v>
      </c>
      <c r="AJ86">
        <v>0</v>
      </c>
      <c r="AK86">
        <v>2E-3</v>
      </c>
      <c r="AL86">
        <v>0</v>
      </c>
      <c r="AM86">
        <v>2.9000000000000001E-2</v>
      </c>
      <c r="AN86">
        <v>9.5510000000000002</v>
      </c>
      <c r="AO86">
        <v>5.8999999999999997E-2</v>
      </c>
      <c r="AP86">
        <v>1E-3</v>
      </c>
      <c r="AQ86">
        <v>0</v>
      </c>
      <c r="AR86">
        <v>0</v>
      </c>
      <c r="AS86">
        <v>0</v>
      </c>
      <c r="AT86" t="s">
        <v>243</v>
      </c>
      <c r="AU86" t="s">
        <v>243</v>
      </c>
      <c r="AV86" t="s">
        <v>549</v>
      </c>
    </row>
    <row r="87" spans="1:48" ht="16" customHeight="1" x14ac:dyDescent="0.2">
      <c r="A87" t="s">
        <v>38</v>
      </c>
      <c r="B87" t="s">
        <v>625</v>
      </c>
      <c r="C87" t="s">
        <v>265</v>
      </c>
      <c r="D87" t="s">
        <v>174</v>
      </c>
      <c r="E87" t="s">
        <v>175</v>
      </c>
      <c r="F87" t="s">
        <v>176</v>
      </c>
      <c r="G87">
        <v>0.5</v>
      </c>
      <c r="H87">
        <v>20</v>
      </c>
      <c r="I87" t="s">
        <v>177</v>
      </c>
      <c r="J87" t="s">
        <v>178</v>
      </c>
      <c r="K87" t="s">
        <v>179</v>
      </c>
      <c r="L87" t="s">
        <v>180</v>
      </c>
      <c r="M87">
        <v>58</v>
      </c>
      <c r="N87">
        <v>0.10344827586206901</v>
      </c>
      <c r="O87">
        <v>0.5</v>
      </c>
      <c r="P87">
        <v>0.1714285714285714</v>
      </c>
      <c r="Q87">
        <v>10.92</v>
      </c>
      <c r="R87">
        <v>64</v>
      </c>
      <c r="S87">
        <v>64</v>
      </c>
      <c r="T87">
        <v>364616</v>
      </c>
      <c r="U87">
        <v>128</v>
      </c>
      <c r="V87">
        <v>364744</v>
      </c>
      <c r="W87">
        <v>64</v>
      </c>
      <c r="X87">
        <v>364616</v>
      </c>
      <c r="Y87">
        <v>128</v>
      </c>
      <c r="Z87">
        <v>364744</v>
      </c>
      <c r="AA87">
        <v>306</v>
      </c>
      <c r="AB87">
        <v>306</v>
      </c>
      <c r="AC87">
        <v>0</v>
      </c>
      <c r="AD87">
        <v>0</v>
      </c>
      <c r="AE87">
        <v>1E-3</v>
      </c>
      <c r="AF87">
        <v>10.906000000000001</v>
      </c>
      <c r="AG87">
        <v>1.0999999999999999E-2</v>
      </c>
      <c r="AH87">
        <v>4.0000000000000001E-3</v>
      </c>
      <c r="AI87">
        <v>0.41299999999999998</v>
      </c>
      <c r="AJ87">
        <v>0</v>
      </c>
      <c r="AK87">
        <v>2E-3</v>
      </c>
      <c r="AL87">
        <v>0</v>
      </c>
      <c r="AM87">
        <v>2.8000000000000001E-2</v>
      </c>
      <c r="AN87">
        <v>10.276999999999999</v>
      </c>
      <c r="AO87">
        <v>0.03</v>
      </c>
      <c r="AP87">
        <v>4.0000000000000001E-3</v>
      </c>
      <c r="AQ87">
        <v>0</v>
      </c>
      <c r="AR87">
        <v>0</v>
      </c>
      <c r="AS87">
        <v>0</v>
      </c>
      <c r="AT87" t="s">
        <v>243</v>
      </c>
      <c r="AU87" t="s">
        <v>243</v>
      </c>
      <c r="AV87" t="s">
        <v>549</v>
      </c>
    </row>
    <row r="88" spans="1:48" ht="16" customHeight="1" x14ac:dyDescent="0.2">
      <c r="A88" t="s">
        <v>38</v>
      </c>
      <c r="B88" t="s">
        <v>626</v>
      </c>
      <c r="C88" t="s">
        <v>265</v>
      </c>
      <c r="D88" t="s">
        <v>174</v>
      </c>
      <c r="E88" t="s">
        <v>175</v>
      </c>
      <c r="F88" t="s">
        <v>176</v>
      </c>
      <c r="G88">
        <v>0.5</v>
      </c>
      <c r="H88">
        <v>25</v>
      </c>
      <c r="I88" t="s">
        <v>177</v>
      </c>
      <c r="J88" t="s">
        <v>178</v>
      </c>
      <c r="K88" t="s">
        <v>179</v>
      </c>
      <c r="L88" t="s">
        <v>180</v>
      </c>
      <c r="M88">
        <v>68</v>
      </c>
      <c r="N88">
        <v>8.8235294117647065E-2</v>
      </c>
      <c r="O88">
        <v>0.5</v>
      </c>
      <c r="P88">
        <v>0.15</v>
      </c>
      <c r="Q88">
        <v>12.79</v>
      </c>
      <c r="R88">
        <v>81</v>
      </c>
      <c r="S88">
        <v>81</v>
      </c>
      <c r="T88">
        <v>448284</v>
      </c>
      <c r="U88">
        <v>162</v>
      </c>
      <c r="V88">
        <v>448446</v>
      </c>
      <c r="W88">
        <v>81</v>
      </c>
      <c r="X88">
        <v>448284</v>
      </c>
      <c r="Y88">
        <v>162</v>
      </c>
      <c r="Z88">
        <v>448446</v>
      </c>
      <c r="AA88">
        <v>306</v>
      </c>
      <c r="AB88">
        <v>306</v>
      </c>
      <c r="AC88">
        <v>0</v>
      </c>
      <c r="AD88">
        <v>0</v>
      </c>
      <c r="AE88">
        <v>1E-3</v>
      </c>
      <c r="AF88">
        <v>12.749000000000001</v>
      </c>
      <c r="AG88">
        <v>3.1E-2</v>
      </c>
      <c r="AH88">
        <v>4.0000000000000001E-3</v>
      </c>
      <c r="AI88">
        <v>0.26400000000000001</v>
      </c>
      <c r="AJ88">
        <v>0</v>
      </c>
      <c r="AK88">
        <v>4.0000000000000001E-3</v>
      </c>
      <c r="AL88">
        <v>0</v>
      </c>
      <c r="AM88">
        <v>4.7E-2</v>
      </c>
      <c r="AN88">
        <v>12.236000000000001</v>
      </c>
      <c r="AO88">
        <v>3.9E-2</v>
      </c>
      <c r="AP88">
        <v>4.0000000000000001E-3</v>
      </c>
      <c r="AQ88">
        <v>0</v>
      </c>
      <c r="AR88">
        <v>0</v>
      </c>
      <c r="AS88">
        <v>0</v>
      </c>
      <c r="AT88" t="s">
        <v>243</v>
      </c>
      <c r="AU88" t="s">
        <v>243</v>
      </c>
      <c r="AV88" t="s">
        <v>549</v>
      </c>
    </row>
    <row r="89" spans="1:48" ht="16" customHeight="1" x14ac:dyDescent="0.2">
      <c r="A89" t="s">
        <v>39</v>
      </c>
      <c r="B89" t="s">
        <v>627</v>
      </c>
      <c r="C89" t="s">
        <v>548</v>
      </c>
      <c r="D89" t="s">
        <v>174</v>
      </c>
      <c r="E89" t="s">
        <v>175</v>
      </c>
      <c r="F89" t="s">
        <v>176</v>
      </c>
      <c r="G89">
        <v>0.5</v>
      </c>
      <c r="H89">
        <v>5</v>
      </c>
      <c r="I89" t="s">
        <v>177</v>
      </c>
      <c r="J89" t="s">
        <v>178</v>
      </c>
      <c r="K89" t="s">
        <v>179</v>
      </c>
      <c r="L89" t="s">
        <v>180</v>
      </c>
      <c r="M89">
        <v>12</v>
      </c>
      <c r="N89">
        <v>0.66666666666666663</v>
      </c>
      <c r="O89">
        <v>0.66666666666666663</v>
      </c>
      <c r="P89">
        <v>0.66666666666666663</v>
      </c>
      <c r="Q89">
        <v>13.71</v>
      </c>
      <c r="R89">
        <v>12</v>
      </c>
      <c r="S89">
        <v>12</v>
      </c>
      <c r="T89">
        <v>50410</v>
      </c>
      <c r="U89">
        <v>24</v>
      </c>
      <c r="V89">
        <v>50434</v>
      </c>
      <c r="W89">
        <v>12</v>
      </c>
      <c r="X89">
        <v>50410</v>
      </c>
      <c r="Y89">
        <v>24</v>
      </c>
      <c r="Z89">
        <v>50434</v>
      </c>
      <c r="AA89">
        <v>250</v>
      </c>
      <c r="AB89">
        <v>250</v>
      </c>
      <c r="AC89">
        <v>0</v>
      </c>
      <c r="AD89">
        <v>0</v>
      </c>
      <c r="AE89">
        <v>4.0000000000000001E-3</v>
      </c>
      <c r="AF89">
        <v>13.699</v>
      </c>
      <c r="AG89">
        <v>4.0000000000000001E-3</v>
      </c>
      <c r="AH89">
        <v>1E-3</v>
      </c>
      <c r="AI89">
        <v>0.28100000000000003</v>
      </c>
      <c r="AJ89">
        <v>8.3919999999999995</v>
      </c>
      <c r="AK89">
        <v>0</v>
      </c>
      <c r="AL89">
        <v>0</v>
      </c>
      <c r="AM89">
        <v>1E-3</v>
      </c>
      <c r="AN89">
        <v>4.8360000000000003</v>
      </c>
      <c r="AO89">
        <v>2.3E-2</v>
      </c>
      <c r="AP89">
        <v>1E-3</v>
      </c>
      <c r="AQ89">
        <v>0</v>
      </c>
      <c r="AR89">
        <v>0</v>
      </c>
      <c r="AS89">
        <v>0</v>
      </c>
      <c r="AT89" t="s">
        <v>243</v>
      </c>
      <c r="AU89" t="s">
        <v>243</v>
      </c>
      <c r="AV89" t="s">
        <v>549</v>
      </c>
    </row>
    <row r="90" spans="1:48" x14ac:dyDescent="0.2">
      <c r="A90" t="s">
        <v>39</v>
      </c>
      <c r="B90" t="s">
        <v>628</v>
      </c>
      <c r="C90" t="s">
        <v>548</v>
      </c>
      <c r="D90" t="s">
        <v>174</v>
      </c>
      <c r="E90" t="s">
        <v>175</v>
      </c>
      <c r="F90" t="s">
        <v>176</v>
      </c>
      <c r="G90">
        <v>0.5</v>
      </c>
      <c r="H90">
        <v>10</v>
      </c>
      <c r="I90" t="s">
        <v>177</v>
      </c>
      <c r="J90" t="s">
        <v>178</v>
      </c>
      <c r="K90" t="s">
        <v>179</v>
      </c>
      <c r="L90" t="s">
        <v>180</v>
      </c>
      <c r="M90">
        <v>19</v>
      </c>
      <c r="N90">
        <v>0.52631578947368418</v>
      </c>
      <c r="O90">
        <v>0.83333333333333337</v>
      </c>
      <c r="P90">
        <v>0.64516129032258063</v>
      </c>
      <c r="Q90">
        <v>9.7200000000000006</v>
      </c>
      <c r="R90">
        <v>25</v>
      </c>
      <c r="S90">
        <v>25</v>
      </c>
      <c r="T90">
        <v>97472</v>
      </c>
      <c r="U90">
        <v>50</v>
      </c>
      <c r="V90">
        <v>97522</v>
      </c>
      <c r="W90">
        <v>25</v>
      </c>
      <c r="X90">
        <v>97472</v>
      </c>
      <c r="Y90">
        <v>50</v>
      </c>
      <c r="Z90">
        <v>97522</v>
      </c>
      <c r="AA90">
        <v>250</v>
      </c>
      <c r="AB90">
        <v>250</v>
      </c>
      <c r="AC90">
        <v>0</v>
      </c>
      <c r="AD90">
        <v>0</v>
      </c>
      <c r="AE90">
        <v>0</v>
      </c>
      <c r="AF90">
        <v>9.7159999999999993</v>
      </c>
      <c r="AG90">
        <v>4.0000000000000001E-3</v>
      </c>
      <c r="AH90">
        <v>1E-3</v>
      </c>
      <c r="AI90">
        <v>0.19900000000000001</v>
      </c>
      <c r="AJ90">
        <v>1.2E-2</v>
      </c>
      <c r="AK90">
        <v>0</v>
      </c>
      <c r="AL90">
        <v>0</v>
      </c>
      <c r="AM90">
        <v>0</v>
      </c>
      <c r="AN90">
        <v>9.2579999999999991</v>
      </c>
      <c r="AO90">
        <v>6.6000000000000003E-2</v>
      </c>
      <c r="AP90">
        <v>1E-3</v>
      </c>
      <c r="AQ90">
        <v>0</v>
      </c>
      <c r="AR90">
        <v>0</v>
      </c>
      <c r="AS90">
        <v>0</v>
      </c>
      <c r="AT90" t="s">
        <v>243</v>
      </c>
      <c r="AU90" t="s">
        <v>243</v>
      </c>
      <c r="AV90" t="s">
        <v>549</v>
      </c>
    </row>
    <row r="91" spans="1:48" x14ac:dyDescent="0.2">
      <c r="A91" t="s">
        <v>39</v>
      </c>
      <c r="B91" t="s">
        <v>629</v>
      </c>
      <c r="C91" t="s">
        <v>548</v>
      </c>
      <c r="D91" t="s">
        <v>174</v>
      </c>
      <c r="E91" t="s">
        <v>175</v>
      </c>
      <c r="F91" t="s">
        <v>176</v>
      </c>
      <c r="G91">
        <v>0.5</v>
      </c>
      <c r="H91">
        <v>15</v>
      </c>
      <c r="I91" t="s">
        <v>177</v>
      </c>
      <c r="J91" t="s">
        <v>178</v>
      </c>
      <c r="K91" t="s">
        <v>179</v>
      </c>
      <c r="L91" t="s">
        <v>180</v>
      </c>
      <c r="M91">
        <v>18</v>
      </c>
      <c r="N91">
        <v>0.55555555555555558</v>
      </c>
      <c r="O91">
        <v>0.83333333333333337</v>
      </c>
      <c r="P91">
        <v>0.66666666666666674</v>
      </c>
      <c r="Q91">
        <v>13.55</v>
      </c>
      <c r="R91">
        <v>37</v>
      </c>
      <c r="S91">
        <v>37</v>
      </c>
      <c r="T91">
        <v>143743</v>
      </c>
      <c r="U91">
        <v>74</v>
      </c>
      <c r="V91">
        <v>143817</v>
      </c>
      <c r="W91">
        <v>37</v>
      </c>
      <c r="X91">
        <v>143743</v>
      </c>
      <c r="Y91">
        <v>74</v>
      </c>
      <c r="Z91">
        <v>143817</v>
      </c>
      <c r="AA91">
        <v>250</v>
      </c>
      <c r="AB91">
        <v>250</v>
      </c>
      <c r="AC91">
        <v>0</v>
      </c>
      <c r="AD91">
        <v>0</v>
      </c>
      <c r="AE91">
        <v>0</v>
      </c>
      <c r="AF91">
        <v>13.542</v>
      </c>
      <c r="AG91">
        <v>6.0000000000000001E-3</v>
      </c>
      <c r="AH91">
        <v>2E-3</v>
      </c>
      <c r="AI91">
        <v>0.16300000000000001</v>
      </c>
      <c r="AJ91">
        <v>1.0999999999999999E-2</v>
      </c>
      <c r="AK91">
        <v>0</v>
      </c>
      <c r="AL91">
        <v>0</v>
      </c>
      <c r="AM91">
        <v>0</v>
      </c>
      <c r="AN91">
        <v>13.099</v>
      </c>
      <c r="AO91">
        <v>0.12</v>
      </c>
      <c r="AP91">
        <v>2E-3</v>
      </c>
      <c r="AQ91">
        <v>0</v>
      </c>
      <c r="AR91">
        <v>0</v>
      </c>
      <c r="AS91">
        <v>0</v>
      </c>
      <c r="AT91" t="s">
        <v>243</v>
      </c>
      <c r="AU91" t="s">
        <v>243</v>
      </c>
      <c r="AV91" t="s">
        <v>549</v>
      </c>
    </row>
    <row r="92" spans="1:48" x14ac:dyDescent="0.2">
      <c r="A92" t="s">
        <v>39</v>
      </c>
      <c r="B92" t="s">
        <v>630</v>
      </c>
      <c r="C92" t="s">
        <v>548</v>
      </c>
      <c r="D92" t="s">
        <v>174</v>
      </c>
      <c r="E92" t="s">
        <v>175</v>
      </c>
      <c r="F92" t="s">
        <v>176</v>
      </c>
      <c r="G92">
        <v>0.5</v>
      </c>
      <c r="H92">
        <v>20</v>
      </c>
      <c r="I92" t="s">
        <v>177</v>
      </c>
      <c r="J92" t="s">
        <v>178</v>
      </c>
      <c r="K92" t="s">
        <v>179</v>
      </c>
      <c r="L92" t="s">
        <v>180</v>
      </c>
      <c r="M92">
        <v>19</v>
      </c>
      <c r="N92">
        <v>0.52631578947368418</v>
      </c>
      <c r="O92">
        <v>0.83333333333333337</v>
      </c>
      <c r="P92">
        <v>0.64516129032258063</v>
      </c>
      <c r="Q92">
        <v>21.51</v>
      </c>
      <c r="R92">
        <v>50</v>
      </c>
      <c r="S92">
        <v>50</v>
      </c>
      <c r="T92">
        <v>183331</v>
      </c>
      <c r="U92">
        <v>100</v>
      </c>
      <c r="V92">
        <v>183431</v>
      </c>
      <c r="W92">
        <v>50</v>
      </c>
      <c r="X92">
        <v>183331</v>
      </c>
      <c r="Y92">
        <v>100</v>
      </c>
      <c r="Z92">
        <v>183431</v>
      </c>
      <c r="AA92">
        <v>250</v>
      </c>
      <c r="AB92">
        <v>250</v>
      </c>
      <c r="AC92">
        <v>0</v>
      </c>
      <c r="AD92">
        <v>0</v>
      </c>
      <c r="AE92">
        <v>0</v>
      </c>
      <c r="AF92">
        <v>21.501999999999999</v>
      </c>
      <c r="AG92">
        <v>8.0000000000000002E-3</v>
      </c>
      <c r="AH92">
        <v>4.0000000000000001E-3</v>
      </c>
      <c r="AI92">
        <v>0.17100000000000001</v>
      </c>
      <c r="AJ92">
        <v>8.0000000000000002E-3</v>
      </c>
      <c r="AK92">
        <v>0</v>
      </c>
      <c r="AL92">
        <v>0</v>
      </c>
      <c r="AM92">
        <v>1E-3</v>
      </c>
      <c r="AN92">
        <v>21.035</v>
      </c>
      <c r="AO92">
        <v>0.16600000000000001</v>
      </c>
      <c r="AP92">
        <v>4.0000000000000001E-3</v>
      </c>
      <c r="AQ92">
        <v>0</v>
      </c>
      <c r="AR92">
        <v>0</v>
      </c>
      <c r="AS92">
        <v>0</v>
      </c>
      <c r="AT92" t="s">
        <v>243</v>
      </c>
      <c r="AU92" t="s">
        <v>243</v>
      </c>
      <c r="AV92" t="s">
        <v>549</v>
      </c>
    </row>
    <row r="93" spans="1:48" x14ac:dyDescent="0.2">
      <c r="A93" t="s">
        <v>39</v>
      </c>
      <c r="B93" t="s">
        <v>631</v>
      </c>
      <c r="C93" t="s">
        <v>548</v>
      </c>
      <c r="D93" t="s">
        <v>174</v>
      </c>
      <c r="E93" t="s">
        <v>175</v>
      </c>
      <c r="F93" t="s">
        <v>176</v>
      </c>
      <c r="G93">
        <v>0.5</v>
      </c>
      <c r="H93">
        <v>25</v>
      </c>
      <c r="I93" t="s">
        <v>177</v>
      </c>
      <c r="J93" t="s">
        <v>178</v>
      </c>
      <c r="K93" t="s">
        <v>179</v>
      </c>
      <c r="L93" t="s">
        <v>180</v>
      </c>
      <c r="M93">
        <v>20</v>
      </c>
      <c r="N93">
        <v>0.5</v>
      </c>
      <c r="O93">
        <v>0.83333333333333337</v>
      </c>
      <c r="P93">
        <v>0.625</v>
      </c>
      <c r="Q93">
        <v>25.01</v>
      </c>
      <c r="R93">
        <v>62</v>
      </c>
      <c r="S93">
        <v>62</v>
      </c>
      <c r="T93">
        <v>217772</v>
      </c>
      <c r="U93">
        <v>124</v>
      </c>
      <c r="V93">
        <v>217896</v>
      </c>
      <c r="W93">
        <v>62</v>
      </c>
      <c r="X93">
        <v>217772</v>
      </c>
      <c r="Y93">
        <v>124</v>
      </c>
      <c r="Z93">
        <v>217896</v>
      </c>
      <c r="AA93">
        <v>250</v>
      </c>
      <c r="AB93">
        <v>250</v>
      </c>
      <c r="AC93">
        <v>0</v>
      </c>
      <c r="AD93">
        <v>0</v>
      </c>
      <c r="AE93">
        <v>0</v>
      </c>
      <c r="AF93">
        <v>24.989000000000001</v>
      </c>
      <c r="AG93">
        <v>1.7000000000000001E-2</v>
      </c>
      <c r="AH93">
        <v>3.0000000000000001E-3</v>
      </c>
      <c r="AI93">
        <v>0.154</v>
      </c>
      <c r="AJ93">
        <v>8.9999999999999993E-3</v>
      </c>
      <c r="AK93">
        <v>0</v>
      </c>
      <c r="AL93">
        <v>0</v>
      </c>
      <c r="AM93">
        <v>1E-3</v>
      </c>
      <c r="AN93">
        <v>24.587</v>
      </c>
      <c r="AO93">
        <v>6.7000000000000004E-2</v>
      </c>
      <c r="AP93">
        <v>3.0000000000000001E-3</v>
      </c>
      <c r="AQ93">
        <v>0</v>
      </c>
      <c r="AR93">
        <v>0</v>
      </c>
      <c r="AS93">
        <v>0</v>
      </c>
      <c r="AT93" t="s">
        <v>243</v>
      </c>
      <c r="AU93" t="s">
        <v>243</v>
      </c>
      <c r="AV93" t="s">
        <v>549</v>
      </c>
    </row>
    <row r="94" spans="1:48" x14ac:dyDescent="0.2">
      <c r="A94" t="s">
        <v>39</v>
      </c>
      <c r="B94" t="s">
        <v>632</v>
      </c>
      <c r="C94" t="s">
        <v>265</v>
      </c>
      <c r="D94" t="s">
        <v>174</v>
      </c>
      <c r="E94" t="s">
        <v>175</v>
      </c>
      <c r="F94" t="s">
        <v>176</v>
      </c>
      <c r="G94">
        <v>0.5</v>
      </c>
      <c r="H94">
        <v>5</v>
      </c>
      <c r="I94" t="s">
        <v>177</v>
      </c>
      <c r="J94" t="s">
        <v>178</v>
      </c>
      <c r="K94" t="s">
        <v>179</v>
      </c>
      <c r="L94" t="s">
        <v>180</v>
      </c>
      <c r="M94">
        <v>22</v>
      </c>
      <c r="N94">
        <v>0.45454545454545447</v>
      </c>
      <c r="O94">
        <v>0.83333333333333337</v>
      </c>
      <c r="P94">
        <v>0.58823529411764708</v>
      </c>
      <c r="Q94">
        <v>6.92</v>
      </c>
      <c r="R94">
        <v>15</v>
      </c>
      <c r="S94">
        <v>15</v>
      </c>
      <c r="T94">
        <v>59010</v>
      </c>
      <c r="U94">
        <v>30</v>
      </c>
      <c r="V94">
        <v>59040</v>
      </c>
      <c r="W94">
        <v>15</v>
      </c>
      <c r="X94">
        <v>59010</v>
      </c>
      <c r="Y94">
        <v>30</v>
      </c>
      <c r="Z94">
        <v>59040</v>
      </c>
      <c r="AA94">
        <v>250</v>
      </c>
      <c r="AB94">
        <v>250</v>
      </c>
      <c r="AC94">
        <v>0</v>
      </c>
      <c r="AD94">
        <v>0</v>
      </c>
      <c r="AE94">
        <v>0</v>
      </c>
      <c r="AF94">
        <v>6.9130000000000003</v>
      </c>
      <c r="AG94">
        <v>3.0000000000000001E-3</v>
      </c>
      <c r="AH94">
        <v>1E-3</v>
      </c>
      <c r="AI94">
        <v>0.17100000000000001</v>
      </c>
      <c r="AJ94">
        <v>1.6E-2</v>
      </c>
      <c r="AK94">
        <v>0</v>
      </c>
      <c r="AL94">
        <v>0</v>
      </c>
      <c r="AM94">
        <v>8.0000000000000002E-3</v>
      </c>
      <c r="AN94">
        <v>6.4950000000000001</v>
      </c>
      <c r="AO94">
        <v>5.8999999999999997E-2</v>
      </c>
      <c r="AP94">
        <v>1E-3</v>
      </c>
      <c r="AQ94">
        <v>0</v>
      </c>
      <c r="AR94">
        <v>0</v>
      </c>
      <c r="AS94">
        <v>0</v>
      </c>
      <c r="AT94" t="s">
        <v>243</v>
      </c>
      <c r="AU94" t="s">
        <v>243</v>
      </c>
      <c r="AV94" t="s">
        <v>549</v>
      </c>
    </row>
    <row r="95" spans="1:48" x14ac:dyDescent="0.2">
      <c r="A95" t="s">
        <v>39</v>
      </c>
      <c r="B95" t="s">
        <v>633</v>
      </c>
      <c r="C95" t="s">
        <v>265</v>
      </c>
      <c r="D95" t="s">
        <v>174</v>
      </c>
      <c r="E95" t="s">
        <v>175</v>
      </c>
      <c r="F95" t="s">
        <v>176</v>
      </c>
      <c r="G95">
        <v>0.5</v>
      </c>
      <c r="H95">
        <v>10</v>
      </c>
      <c r="I95" t="s">
        <v>177</v>
      </c>
      <c r="J95" t="s">
        <v>178</v>
      </c>
      <c r="K95" t="s">
        <v>179</v>
      </c>
      <c r="L95" t="s">
        <v>180</v>
      </c>
      <c r="M95">
        <v>9</v>
      </c>
      <c r="N95">
        <v>0.77777777777777779</v>
      </c>
      <c r="O95">
        <v>0.58333333333333337</v>
      </c>
      <c r="P95">
        <v>0.66666666666666663</v>
      </c>
      <c r="Q95">
        <v>9.7100000000000009</v>
      </c>
      <c r="R95">
        <v>25</v>
      </c>
      <c r="S95">
        <v>25</v>
      </c>
      <c r="T95">
        <v>94532</v>
      </c>
      <c r="U95">
        <v>50</v>
      </c>
      <c r="V95">
        <v>94582</v>
      </c>
      <c r="W95">
        <v>25</v>
      </c>
      <c r="X95">
        <v>94532</v>
      </c>
      <c r="Y95">
        <v>50</v>
      </c>
      <c r="Z95">
        <v>94582</v>
      </c>
      <c r="AA95">
        <v>250</v>
      </c>
      <c r="AB95">
        <v>250</v>
      </c>
      <c r="AC95">
        <v>0</v>
      </c>
      <c r="AD95">
        <v>0</v>
      </c>
      <c r="AE95">
        <v>0</v>
      </c>
      <c r="AF95">
        <v>9.7040000000000006</v>
      </c>
      <c r="AG95">
        <v>7.0000000000000001E-3</v>
      </c>
      <c r="AH95">
        <v>3.0000000000000001E-3</v>
      </c>
      <c r="AI95">
        <v>0.17199999999999999</v>
      </c>
      <c r="AJ95">
        <v>1.2E-2</v>
      </c>
      <c r="AK95">
        <v>0</v>
      </c>
      <c r="AL95">
        <v>0</v>
      </c>
      <c r="AM95">
        <v>0.01</v>
      </c>
      <c r="AN95">
        <v>9.2569999999999997</v>
      </c>
      <c r="AO95">
        <v>8.1000000000000003E-2</v>
      </c>
      <c r="AP95">
        <v>3.0000000000000001E-3</v>
      </c>
      <c r="AQ95">
        <v>0</v>
      </c>
      <c r="AR95">
        <v>0</v>
      </c>
      <c r="AS95">
        <v>0</v>
      </c>
      <c r="AT95" t="s">
        <v>243</v>
      </c>
      <c r="AU95" t="s">
        <v>243</v>
      </c>
      <c r="AV95" t="s">
        <v>549</v>
      </c>
    </row>
    <row r="96" spans="1:48" x14ac:dyDescent="0.2">
      <c r="A96" t="s">
        <v>39</v>
      </c>
      <c r="B96" t="s">
        <v>634</v>
      </c>
      <c r="C96" t="s">
        <v>265</v>
      </c>
      <c r="D96" t="s">
        <v>174</v>
      </c>
      <c r="E96" t="s">
        <v>175</v>
      </c>
      <c r="F96" t="s">
        <v>176</v>
      </c>
      <c r="G96">
        <v>0.5</v>
      </c>
      <c r="H96">
        <v>15</v>
      </c>
      <c r="I96" t="s">
        <v>177</v>
      </c>
      <c r="J96" t="s">
        <v>178</v>
      </c>
      <c r="K96" t="s">
        <v>179</v>
      </c>
      <c r="L96" t="s">
        <v>180</v>
      </c>
      <c r="M96">
        <v>9</v>
      </c>
      <c r="N96">
        <v>0.77777777777777779</v>
      </c>
      <c r="O96">
        <v>0.58333333333333337</v>
      </c>
      <c r="P96">
        <v>0.66666666666666663</v>
      </c>
      <c r="Q96">
        <v>16.29</v>
      </c>
      <c r="R96">
        <v>37</v>
      </c>
      <c r="S96">
        <v>37</v>
      </c>
      <c r="T96">
        <v>136255</v>
      </c>
      <c r="U96">
        <v>74</v>
      </c>
      <c r="V96">
        <v>136329</v>
      </c>
      <c r="W96">
        <v>37</v>
      </c>
      <c r="X96">
        <v>136255</v>
      </c>
      <c r="Y96">
        <v>74</v>
      </c>
      <c r="Z96">
        <v>136329</v>
      </c>
      <c r="AA96">
        <v>250</v>
      </c>
      <c r="AB96">
        <v>250</v>
      </c>
      <c r="AC96">
        <v>0</v>
      </c>
      <c r="AD96">
        <v>0</v>
      </c>
      <c r="AE96">
        <v>0</v>
      </c>
      <c r="AF96">
        <v>16.286999999999999</v>
      </c>
      <c r="AG96">
        <v>5.0000000000000001E-3</v>
      </c>
      <c r="AH96">
        <v>3.0000000000000001E-3</v>
      </c>
      <c r="AI96">
        <v>0.19</v>
      </c>
      <c r="AJ96">
        <v>1.2E-2</v>
      </c>
      <c r="AK96">
        <v>0</v>
      </c>
      <c r="AL96">
        <v>0</v>
      </c>
      <c r="AM96">
        <v>2.4E-2</v>
      </c>
      <c r="AN96">
        <v>15.853</v>
      </c>
      <c r="AO96">
        <v>4.1000000000000002E-2</v>
      </c>
      <c r="AP96">
        <v>3.0000000000000001E-3</v>
      </c>
      <c r="AQ96">
        <v>0</v>
      </c>
      <c r="AR96">
        <v>0</v>
      </c>
      <c r="AS96">
        <v>0</v>
      </c>
      <c r="AT96" t="s">
        <v>243</v>
      </c>
      <c r="AU96" t="s">
        <v>243</v>
      </c>
      <c r="AV96" t="s">
        <v>549</v>
      </c>
    </row>
    <row r="97" spans="1:102" x14ac:dyDescent="0.2">
      <c r="A97" t="s">
        <v>39</v>
      </c>
      <c r="B97" t="s">
        <v>635</v>
      </c>
      <c r="C97" t="s">
        <v>265</v>
      </c>
      <c r="D97" t="s">
        <v>174</v>
      </c>
      <c r="E97" t="s">
        <v>175</v>
      </c>
      <c r="F97" t="s">
        <v>176</v>
      </c>
      <c r="G97">
        <v>0.5</v>
      </c>
      <c r="H97">
        <v>20</v>
      </c>
      <c r="I97" t="s">
        <v>177</v>
      </c>
      <c r="J97" t="s">
        <v>178</v>
      </c>
      <c r="K97" t="s">
        <v>179</v>
      </c>
      <c r="L97" t="s">
        <v>180</v>
      </c>
      <c r="M97">
        <v>13</v>
      </c>
      <c r="N97">
        <v>0.76923076923076927</v>
      </c>
      <c r="O97">
        <v>0.83333333333333337</v>
      </c>
      <c r="P97">
        <v>0.8</v>
      </c>
      <c r="Q97">
        <v>21.67</v>
      </c>
      <c r="R97">
        <v>50</v>
      </c>
      <c r="S97">
        <v>50</v>
      </c>
      <c r="T97">
        <v>175756</v>
      </c>
      <c r="U97">
        <v>100</v>
      </c>
      <c r="V97">
        <v>175856</v>
      </c>
      <c r="W97">
        <v>50</v>
      </c>
      <c r="X97">
        <v>175756</v>
      </c>
      <c r="Y97">
        <v>100</v>
      </c>
      <c r="Z97">
        <v>175856</v>
      </c>
      <c r="AA97">
        <v>250</v>
      </c>
      <c r="AB97">
        <v>250</v>
      </c>
      <c r="AC97">
        <v>0</v>
      </c>
      <c r="AD97">
        <v>0</v>
      </c>
      <c r="AE97">
        <v>0</v>
      </c>
      <c r="AF97">
        <v>21.664999999999999</v>
      </c>
      <c r="AG97">
        <v>5.0000000000000001E-3</v>
      </c>
      <c r="AH97">
        <v>1E-3</v>
      </c>
      <c r="AI97">
        <v>0.182</v>
      </c>
      <c r="AJ97">
        <v>1.2999999999999999E-2</v>
      </c>
      <c r="AK97">
        <v>0</v>
      </c>
      <c r="AL97">
        <v>0</v>
      </c>
      <c r="AM97">
        <v>3.5999999999999997E-2</v>
      </c>
      <c r="AN97">
        <v>21.181999999999999</v>
      </c>
      <c r="AO97">
        <v>8.1000000000000003E-2</v>
      </c>
      <c r="AP97">
        <v>1E-3</v>
      </c>
      <c r="AQ97">
        <v>0</v>
      </c>
      <c r="AR97">
        <v>0</v>
      </c>
      <c r="AS97">
        <v>0</v>
      </c>
      <c r="AT97" t="s">
        <v>243</v>
      </c>
      <c r="AU97" t="s">
        <v>243</v>
      </c>
      <c r="AV97" t="s">
        <v>549</v>
      </c>
    </row>
    <row r="98" spans="1:102" x14ac:dyDescent="0.2">
      <c r="A98" t="s">
        <v>39</v>
      </c>
      <c r="B98" t="s">
        <v>636</v>
      </c>
      <c r="C98" t="s">
        <v>265</v>
      </c>
      <c r="D98" t="s">
        <v>174</v>
      </c>
      <c r="E98" t="s">
        <v>175</v>
      </c>
      <c r="F98" t="s">
        <v>176</v>
      </c>
      <c r="G98">
        <v>0.5</v>
      </c>
      <c r="H98">
        <v>25</v>
      </c>
      <c r="I98" t="s">
        <v>177</v>
      </c>
      <c r="J98" t="s">
        <v>178</v>
      </c>
      <c r="K98" t="s">
        <v>179</v>
      </c>
      <c r="L98" t="s">
        <v>180</v>
      </c>
      <c r="M98">
        <v>16</v>
      </c>
      <c r="N98">
        <v>0.75</v>
      </c>
      <c r="O98">
        <v>1</v>
      </c>
      <c r="P98">
        <v>0.8571428571428571</v>
      </c>
      <c r="Q98">
        <v>24.26</v>
      </c>
      <c r="R98">
        <v>62</v>
      </c>
      <c r="S98">
        <v>62</v>
      </c>
      <c r="T98">
        <v>224897</v>
      </c>
      <c r="U98">
        <v>124</v>
      </c>
      <c r="V98">
        <v>225021</v>
      </c>
      <c r="W98">
        <v>62</v>
      </c>
      <c r="X98">
        <v>224897</v>
      </c>
      <c r="Y98">
        <v>124</v>
      </c>
      <c r="Z98">
        <v>225021</v>
      </c>
      <c r="AA98">
        <v>250</v>
      </c>
      <c r="AB98">
        <v>250</v>
      </c>
      <c r="AC98">
        <v>0</v>
      </c>
      <c r="AD98">
        <v>0</v>
      </c>
      <c r="AE98">
        <v>0</v>
      </c>
      <c r="AF98">
        <v>24.254999999999999</v>
      </c>
      <c r="AG98">
        <v>5.0000000000000001E-3</v>
      </c>
      <c r="AH98">
        <v>1E-3</v>
      </c>
      <c r="AI98">
        <v>0.17</v>
      </c>
      <c r="AJ98">
        <v>1.2999999999999999E-2</v>
      </c>
      <c r="AK98">
        <v>0</v>
      </c>
      <c r="AL98">
        <v>0</v>
      </c>
      <c r="AM98">
        <v>3.5999999999999997E-2</v>
      </c>
      <c r="AN98">
        <v>23.863</v>
      </c>
      <c r="AO98">
        <v>2.3E-2</v>
      </c>
      <c r="AP98">
        <v>1E-3</v>
      </c>
      <c r="AQ98">
        <v>0</v>
      </c>
      <c r="AR98">
        <v>0</v>
      </c>
      <c r="AS98">
        <v>0</v>
      </c>
      <c r="AT98" t="s">
        <v>243</v>
      </c>
      <c r="AU98" t="s">
        <v>243</v>
      </c>
      <c r="AV98" t="s">
        <v>549</v>
      </c>
    </row>
    <row r="100" spans="1:102" x14ac:dyDescent="0.2">
      <c r="A100" t="s">
        <v>637</v>
      </c>
    </row>
    <row r="101" spans="1:102" x14ac:dyDescent="0.2">
      <c r="A101" t="s">
        <v>0</v>
      </c>
      <c r="B101" t="s">
        <v>71</v>
      </c>
      <c r="C101" t="s">
        <v>72</v>
      </c>
      <c r="D101" t="s">
        <v>73</v>
      </c>
      <c r="E101" t="s">
        <v>74</v>
      </c>
      <c r="F101" t="s">
        <v>75</v>
      </c>
      <c r="G101" t="s">
        <v>76</v>
      </c>
      <c r="H101" t="s">
        <v>77</v>
      </c>
      <c r="I101" t="s">
        <v>78</v>
      </c>
      <c r="J101" t="s">
        <v>79</v>
      </c>
      <c r="K101" t="s">
        <v>80</v>
      </c>
      <c r="L101" t="s">
        <v>81</v>
      </c>
      <c r="M101" t="s">
        <v>82</v>
      </c>
      <c r="N101" t="s">
        <v>83</v>
      </c>
      <c r="O101" t="s">
        <v>84</v>
      </c>
      <c r="P101" t="s">
        <v>85</v>
      </c>
      <c r="Q101" t="s">
        <v>86</v>
      </c>
      <c r="R101" t="s">
        <v>87</v>
      </c>
      <c r="S101" t="s">
        <v>88</v>
      </c>
      <c r="T101" t="s">
        <v>89</v>
      </c>
      <c r="U101" t="s">
        <v>90</v>
      </c>
      <c r="V101" t="s">
        <v>91</v>
      </c>
      <c r="W101" t="s">
        <v>92</v>
      </c>
      <c r="X101" t="s">
        <v>93</v>
      </c>
      <c r="Y101" t="s">
        <v>94</v>
      </c>
      <c r="Z101" t="s">
        <v>95</v>
      </c>
      <c r="AA101" t="s">
        <v>96</v>
      </c>
      <c r="AB101" t="s">
        <v>97</v>
      </c>
      <c r="AC101" t="s">
        <v>98</v>
      </c>
      <c r="AD101" t="s">
        <v>99</v>
      </c>
      <c r="AE101" t="s">
        <v>100</v>
      </c>
      <c r="AF101" t="s">
        <v>101</v>
      </c>
      <c r="AG101" t="s">
        <v>102</v>
      </c>
      <c r="AH101" t="s">
        <v>103</v>
      </c>
      <c r="AI101" t="s">
        <v>104</v>
      </c>
      <c r="AJ101" t="s">
        <v>105</v>
      </c>
      <c r="AK101" t="s">
        <v>106</v>
      </c>
      <c r="AL101" t="s">
        <v>107</v>
      </c>
      <c r="AM101" t="s">
        <v>108</v>
      </c>
      <c r="AN101" t="s">
        <v>109</v>
      </c>
      <c r="AO101" t="s">
        <v>110</v>
      </c>
      <c r="AP101" t="s">
        <v>111</v>
      </c>
      <c r="AQ101" t="s">
        <v>112</v>
      </c>
      <c r="AR101" t="s">
        <v>113</v>
      </c>
      <c r="AS101" t="s">
        <v>114</v>
      </c>
      <c r="AT101" t="s">
        <v>115</v>
      </c>
      <c r="AU101" t="s">
        <v>116</v>
      </c>
      <c r="AV101" t="s">
        <v>117</v>
      </c>
      <c r="AW101" t="s">
        <v>118</v>
      </c>
      <c r="AX101" t="s">
        <v>119</v>
      </c>
      <c r="AY101" t="s">
        <v>120</v>
      </c>
      <c r="AZ101" t="s">
        <v>121</v>
      </c>
      <c r="BA101" t="s">
        <v>122</v>
      </c>
      <c r="BB101" t="s">
        <v>123</v>
      </c>
      <c r="BC101" t="s">
        <v>124</v>
      </c>
      <c r="BD101" t="s">
        <v>125</v>
      </c>
      <c r="BE101" t="s">
        <v>126</v>
      </c>
      <c r="BF101" t="s">
        <v>127</v>
      </c>
      <c r="BG101" t="s">
        <v>128</v>
      </c>
      <c r="BH101" t="s">
        <v>129</v>
      </c>
      <c r="BI101" t="s">
        <v>130</v>
      </c>
      <c r="BJ101" t="s">
        <v>131</v>
      </c>
      <c r="BK101" t="s">
        <v>132</v>
      </c>
      <c r="BL101" t="s">
        <v>133</v>
      </c>
      <c r="BM101" t="s">
        <v>134</v>
      </c>
      <c r="BN101" t="s">
        <v>135</v>
      </c>
      <c r="BO101" t="s">
        <v>136</v>
      </c>
      <c r="BP101" t="s">
        <v>137</v>
      </c>
      <c r="BQ101" t="s">
        <v>138</v>
      </c>
      <c r="BR101" t="s">
        <v>139</v>
      </c>
      <c r="BS101" t="s">
        <v>140</v>
      </c>
      <c r="BT101" t="s">
        <v>141</v>
      </c>
      <c r="BU101" t="s">
        <v>142</v>
      </c>
      <c r="BV101" t="s">
        <v>143</v>
      </c>
      <c r="BW101" t="s">
        <v>144</v>
      </c>
      <c r="BX101" t="s">
        <v>145</v>
      </c>
      <c r="BY101" t="s">
        <v>146</v>
      </c>
      <c r="BZ101" t="s">
        <v>147</v>
      </c>
      <c r="CA101" t="s">
        <v>148</v>
      </c>
      <c r="CB101" t="s">
        <v>149</v>
      </c>
      <c r="CC101" t="s">
        <v>150</v>
      </c>
      <c r="CD101" t="s">
        <v>151</v>
      </c>
      <c r="CE101" t="s">
        <v>152</v>
      </c>
      <c r="CF101" t="s">
        <v>153</v>
      </c>
      <c r="CG101" t="s">
        <v>154</v>
      </c>
      <c r="CH101" t="s">
        <v>155</v>
      </c>
      <c r="CI101" t="s">
        <v>156</v>
      </c>
      <c r="CJ101" t="s">
        <v>157</v>
      </c>
      <c r="CK101" t="s">
        <v>158</v>
      </c>
      <c r="CL101" t="s">
        <v>159</v>
      </c>
      <c r="CM101" t="s">
        <v>160</v>
      </c>
      <c r="CN101" t="s">
        <v>161</v>
      </c>
      <c r="CO101" t="s">
        <v>162</v>
      </c>
      <c r="CP101" t="s">
        <v>163</v>
      </c>
      <c r="CQ101" t="s">
        <v>164</v>
      </c>
      <c r="CR101" t="s">
        <v>165</v>
      </c>
      <c r="CS101" t="s">
        <v>166</v>
      </c>
      <c r="CT101" t="s">
        <v>167</v>
      </c>
      <c r="CU101" t="s">
        <v>168</v>
      </c>
      <c r="CV101" t="s">
        <v>169</v>
      </c>
      <c r="CW101" t="s">
        <v>170</v>
      </c>
      <c r="CX101" t="s">
        <v>171</v>
      </c>
    </row>
    <row r="102" spans="1:102" x14ac:dyDescent="0.2">
      <c r="A102" t="s">
        <v>45</v>
      </c>
      <c r="B102" t="s">
        <v>638</v>
      </c>
      <c r="C102" t="s">
        <v>548</v>
      </c>
      <c r="D102" t="s">
        <v>174</v>
      </c>
      <c r="E102" t="s">
        <v>175</v>
      </c>
      <c r="F102" t="s">
        <v>176</v>
      </c>
      <c r="G102">
        <v>0.5</v>
      </c>
      <c r="H102">
        <v>5</v>
      </c>
      <c r="I102" t="s">
        <v>177</v>
      </c>
      <c r="J102" t="s">
        <v>178</v>
      </c>
      <c r="K102" t="s">
        <v>179</v>
      </c>
      <c r="L102" t="s">
        <v>180</v>
      </c>
      <c r="M102">
        <v>0</v>
      </c>
      <c r="N102">
        <v>0</v>
      </c>
      <c r="O102">
        <v>0</v>
      </c>
      <c r="P102">
        <v>0</v>
      </c>
      <c r="Q102">
        <v>1.38</v>
      </c>
      <c r="R102">
        <v>13</v>
      </c>
      <c r="S102">
        <v>13</v>
      </c>
      <c r="T102">
        <v>1120</v>
      </c>
      <c r="U102">
        <v>194</v>
      </c>
      <c r="V102">
        <v>1314</v>
      </c>
      <c r="W102">
        <v>1</v>
      </c>
      <c r="X102">
        <v>1120</v>
      </c>
      <c r="Y102">
        <v>194</v>
      </c>
      <c r="Z102">
        <v>1314</v>
      </c>
      <c r="AA102">
        <v>266</v>
      </c>
      <c r="AB102">
        <v>266</v>
      </c>
      <c r="AC102">
        <v>0</v>
      </c>
      <c r="AD102">
        <v>0</v>
      </c>
      <c r="AE102">
        <v>3.0000000000000001E-3</v>
      </c>
      <c r="AF102">
        <v>1.375</v>
      </c>
      <c r="AG102">
        <v>0</v>
      </c>
      <c r="AH102">
        <v>0</v>
      </c>
      <c r="AI102">
        <v>0.69199999999999995</v>
      </c>
      <c r="AJ102">
        <v>1E-3</v>
      </c>
      <c r="AK102">
        <v>2E-3</v>
      </c>
      <c r="AL102">
        <v>0</v>
      </c>
      <c r="AM102">
        <v>0</v>
      </c>
      <c r="AN102">
        <v>0.33300000000000002</v>
      </c>
      <c r="AO102">
        <v>1.4999999999999999E-2</v>
      </c>
      <c r="AP102">
        <v>0</v>
      </c>
      <c r="AQ102">
        <v>0</v>
      </c>
      <c r="AR102">
        <v>0</v>
      </c>
      <c r="AS102">
        <v>0</v>
      </c>
      <c r="AT102" t="s">
        <v>243</v>
      </c>
      <c r="AU102" t="s">
        <v>243</v>
      </c>
      <c r="AV102" t="s">
        <v>549</v>
      </c>
    </row>
    <row r="103" spans="1:102" x14ac:dyDescent="0.2">
      <c r="A103" t="s">
        <v>45</v>
      </c>
      <c r="B103" t="s">
        <v>639</v>
      </c>
      <c r="C103" t="s">
        <v>548</v>
      </c>
      <c r="D103" t="s">
        <v>174</v>
      </c>
      <c r="E103" t="s">
        <v>175</v>
      </c>
      <c r="F103" t="s">
        <v>176</v>
      </c>
      <c r="G103">
        <v>0.5</v>
      </c>
      <c r="H103">
        <v>10</v>
      </c>
      <c r="I103" t="s">
        <v>177</v>
      </c>
      <c r="J103" t="s">
        <v>178</v>
      </c>
      <c r="K103" t="s">
        <v>179</v>
      </c>
      <c r="L103" t="s">
        <v>180</v>
      </c>
      <c r="M103">
        <v>0</v>
      </c>
      <c r="N103">
        <v>0</v>
      </c>
      <c r="O103">
        <v>0</v>
      </c>
      <c r="P103">
        <v>0</v>
      </c>
      <c r="Q103">
        <v>0.59</v>
      </c>
      <c r="R103">
        <v>26</v>
      </c>
      <c r="S103">
        <v>26</v>
      </c>
      <c r="T103">
        <v>2227</v>
      </c>
      <c r="U103">
        <v>360</v>
      </c>
      <c r="V103">
        <v>2587</v>
      </c>
      <c r="W103">
        <v>1</v>
      </c>
      <c r="X103">
        <v>2227</v>
      </c>
      <c r="Y103">
        <v>360</v>
      </c>
      <c r="Z103">
        <v>2587</v>
      </c>
      <c r="AA103">
        <v>266</v>
      </c>
      <c r="AB103">
        <v>266</v>
      </c>
      <c r="AC103">
        <v>0</v>
      </c>
      <c r="AD103">
        <v>0</v>
      </c>
      <c r="AE103">
        <v>2E-3</v>
      </c>
      <c r="AF103">
        <v>0.58499999999999996</v>
      </c>
      <c r="AG103">
        <v>0</v>
      </c>
      <c r="AH103">
        <v>0</v>
      </c>
      <c r="AI103">
        <v>0.30499999999999999</v>
      </c>
      <c r="AJ103">
        <v>0</v>
      </c>
      <c r="AK103">
        <v>2E-3</v>
      </c>
      <c r="AL103">
        <v>0</v>
      </c>
      <c r="AM103">
        <v>0</v>
      </c>
      <c r="AN103">
        <v>0.2</v>
      </c>
      <c r="AO103">
        <v>8.0000000000000002E-3</v>
      </c>
      <c r="AP103">
        <v>0</v>
      </c>
      <c r="AQ103">
        <v>0</v>
      </c>
      <c r="AR103">
        <v>0</v>
      </c>
      <c r="AS103">
        <v>0</v>
      </c>
      <c r="AT103" t="s">
        <v>243</v>
      </c>
      <c r="AU103" t="s">
        <v>243</v>
      </c>
      <c r="AV103" t="s">
        <v>549</v>
      </c>
    </row>
    <row r="104" spans="1:102" x14ac:dyDescent="0.2">
      <c r="A104" t="s">
        <v>45</v>
      </c>
      <c r="B104" t="s">
        <v>640</v>
      </c>
      <c r="C104" t="s">
        <v>548</v>
      </c>
      <c r="D104" t="s">
        <v>174</v>
      </c>
      <c r="E104" t="s">
        <v>175</v>
      </c>
      <c r="F104" t="s">
        <v>176</v>
      </c>
      <c r="G104">
        <v>0.5</v>
      </c>
      <c r="H104">
        <v>15</v>
      </c>
      <c r="I104" t="s">
        <v>177</v>
      </c>
      <c r="J104" t="s">
        <v>178</v>
      </c>
      <c r="K104" t="s">
        <v>179</v>
      </c>
      <c r="L104" t="s">
        <v>180</v>
      </c>
      <c r="M104">
        <v>14</v>
      </c>
      <c r="N104">
        <v>7.1428571428571425E-2</v>
      </c>
      <c r="O104">
        <v>0.5</v>
      </c>
      <c r="P104">
        <v>0.125</v>
      </c>
      <c r="Q104">
        <v>1.03</v>
      </c>
      <c r="R104">
        <v>39</v>
      </c>
      <c r="S104">
        <v>39</v>
      </c>
      <c r="T104">
        <v>3326</v>
      </c>
      <c r="U104">
        <v>568</v>
      </c>
      <c r="V104">
        <v>3894</v>
      </c>
      <c r="W104">
        <v>2</v>
      </c>
      <c r="X104">
        <v>3326</v>
      </c>
      <c r="Y104">
        <v>568</v>
      </c>
      <c r="Z104">
        <v>3894</v>
      </c>
      <c r="AA104">
        <v>266</v>
      </c>
      <c r="AB104">
        <v>266</v>
      </c>
      <c r="AC104">
        <v>0</v>
      </c>
      <c r="AD104">
        <v>0</v>
      </c>
      <c r="AE104">
        <v>1E-3</v>
      </c>
      <c r="AF104">
        <v>1.0149999999999999</v>
      </c>
      <c r="AG104">
        <v>8.0000000000000002E-3</v>
      </c>
      <c r="AH104">
        <v>2E-3</v>
      </c>
      <c r="AI104">
        <v>0.28299999999999997</v>
      </c>
      <c r="AJ104">
        <v>0</v>
      </c>
      <c r="AK104">
        <v>2E-3</v>
      </c>
      <c r="AL104">
        <v>0</v>
      </c>
      <c r="AM104">
        <v>0</v>
      </c>
      <c r="AN104">
        <v>0.23300000000000001</v>
      </c>
      <c r="AO104">
        <v>7.4999999999999997E-2</v>
      </c>
      <c r="AP104">
        <v>2E-3</v>
      </c>
      <c r="AQ104">
        <v>0</v>
      </c>
      <c r="AR104">
        <v>0</v>
      </c>
      <c r="AS104">
        <v>0</v>
      </c>
      <c r="AT104" t="s">
        <v>243</v>
      </c>
      <c r="AU104" t="s">
        <v>243</v>
      </c>
      <c r="AV104" t="s">
        <v>549</v>
      </c>
    </row>
    <row r="105" spans="1:102" x14ac:dyDescent="0.2">
      <c r="A105" t="s">
        <v>45</v>
      </c>
      <c r="B105" t="s">
        <v>641</v>
      </c>
      <c r="C105" t="s">
        <v>548</v>
      </c>
      <c r="D105" t="s">
        <v>174</v>
      </c>
      <c r="E105" t="s">
        <v>175</v>
      </c>
      <c r="F105" t="s">
        <v>176</v>
      </c>
      <c r="G105">
        <v>0.5</v>
      </c>
      <c r="H105">
        <v>20</v>
      </c>
      <c r="I105" t="s">
        <v>177</v>
      </c>
      <c r="J105" t="s">
        <v>178</v>
      </c>
      <c r="K105" t="s">
        <v>179</v>
      </c>
      <c r="L105" t="s">
        <v>180</v>
      </c>
      <c r="M105">
        <v>14</v>
      </c>
      <c r="N105">
        <v>7.1428571428571425E-2</v>
      </c>
      <c r="O105">
        <v>0.5</v>
      </c>
      <c r="P105">
        <v>0.125</v>
      </c>
      <c r="Q105">
        <v>0.73</v>
      </c>
      <c r="R105">
        <v>53</v>
      </c>
      <c r="S105">
        <v>53</v>
      </c>
      <c r="T105">
        <v>4524</v>
      </c>
      <c r="U105">
        <v>722</v>
      </c>
      <c r="V105">
        <v>5246</v>
      </c>
      <c r="W105">
        <v>2</v>
      </c>
      <c r="X105">
        <v>4524</v>
      </c>
      <c r="Y105">
        <v>722</v>
      </c>
      <c r="Z105">
        <v>5246</v>
      </c>
      <c r="AA105">
        <v>266</v>
      </c>
      <c r="AB105">
        <v>266</v>
      </c>
      <c r="AC105">
        <v>0</v>
      </c>
      <c r="AD105">
        <v>0</v>
      </c>
      <c r="AE105">
        <v>1E-3</v>
      </c>
      <c r="AF105">
        <v>0.71599999999999997</v>
      </c>
      <c r="AG105">
        <v>0.01</v>
      </c>
      <c r="AH105">
        <v>2E-3</v>
      </c>
      <c r="AI105">
        <v>0.255</v>
      </c>
      <c r="AJ105">
        <v>0</v>
      </c>
      <c r="AK105">
        <v>2E-3</v>
      </c>
      <c r="AL105">
        <v>0</v>
      </c>
      <c r="AM105">
        <v>0</v>
      </c>
      <c r="AN105">
        <v>0.24099999999999999</v>
      </c>
      <c r="AO105">
        <v>0.02</v>
      </c>
      <c r="AP105">
        <v>2E-3</v>
      </c>
      <c r="AQ105">
        <v>0</v>
      </c>
      <c r="AR105">
        <v>0</v>
      </c>
      <c r="AS105">
        <v>0</v>
      </c>
      <c r="AT105" t="s">
        <v>243</v>
      </c>
      <c r="AU105" t="s">
        <v>243</v>
      </c>
      <c r="AV105" t="s">
        <v>549</v>
      </c>
    </row>
    <row r="106" spans="1:102" x14ac:dyDescent="0.2">
      <c r="A106" t="s">
        <v>45</v>
      </c>
      <c r="B106" t="s">
        <v>642</v>
      </c>
      <c r="C106" t="s">
        <v>548</v>
      </c>
      <c r="D106" t="s">
        <v>174</v>
      </c>
      <c r="E106" t="s">
        <v>175</v>
      </c>
      <c r="F106" t="s">
        <v>176</v>
      </c>
      <c r="G106">
        <v>0.5</v>
      </c>
      <c r="H106">
        <v>25</v>
      </c>
      <c r="I106" t="s">
        <v>177</v>
      </c>
      <c r="J106" t="s">
        <v>178</v>
      </c>
      <c r="K106" t="s">
        <v>179</v>
      </c>
      <c r="L106" t="s">
        <v>180</v>
      </c>
      <c r="M106">
        <v>14</v>
      </c>
      <c r="N106">
        <v>7.1428571428571425E-2</v>
      </c>
      <c r="O106">
        <v>0.5</v>
      </c>
      <c r="P106">
        <v>0.125</v>
      </c>
      <c r="Q106">
        <v>0.9</v>
      </c>
      <c r="R106">
        <v>66</v>
      </c>
      <c r="S106">
        <v>66</v>
      </c>
      <c r="T106">
        <v>5637</v>
      </c>
      <c r="U106">
        <v>902</v>
      </c>
      <c r="V106">
        <v>6539</v>
      </c>
      <c r="W106">
        <v>3</v>
      </c>
      <c r="X106">
        <v>5637</v>
      </c>
      <c r="Y106">
        <v>902</v>
      </c>
      <c r="Z106">
        <v>6539</v>
      </c>
      <c r="AA106">
        <v>266</v>
      </c>
      <c r="AB106">
        <v>266</v>
      </c>
      <c r="AC106">
        <v>0</v>
      </c>
      <c r="AD106">
        <v>0</v>
      </c>
      <c r="AE106">
        <v>1E-3</v>
      </c>
      <c r="AF106">
        <v>0.86499999999999999</v>
      </c>
      <c r="AG106">
        <v>2.5999999999999999E-2</v>
      </c>
      <c r="AH106">
        <v>7.0000000000000001E-3</v>
      </c>
      <c r="AI106">
        <v>0.29599999999999999</v>
      </c>
      <c r="AJ106">
        <v>0</v>
      </c>
      <c r="AK106">
        <v>2E-3</v>
      </c>
      <c r="AL106">
        <v>0</v>
      </c>
      <c r="AM106">
        <v>0</v>
      </c>
      <c r="AN106">
        <v>0.27700000000000002</v>
      </c>
      <c r="AO106">
        <v>0.108</v>
      </c>
      <c r="AP106">
        <v>7.0000000000000001E-3</v>
      </c>
      <c r="AQ106">
        <v>0</v>
      </c>
      <c r="AR106">
        <v>0</v>
      </c>
      <c r="AS106">
        <v>0</v>
      </c>
      <c r="AT106" t="s">
        <v>243</v>
      </c>
      <c r="AU106" t="s">
        <v>243</v>
      </c>
      <c r="AV106" t="s">
        <v>549</v>
      </c>
    </row>
    <row r="107" spans="1:102" x14ac:dyDescent="0.2">
      <c r="A107" t="s">
        <v>45</v>
      </c>
      <c r="B107" t="s">
        <v>643</v>
      </c>
      <c r="C107" t="s">
        <v>265</v>
      </c>
      <c r="D107" t="s">
        <v>174</v>
      </c>
      <c r="E107" t="s">
        <v>175</v>
      </c>
      <c r="F107" t="s">
        <v>176</v>
      </c>
      <c r="G107">
        <v>0.5</v>
      </c>
      <c r="H107">
        <v>5</v>
      </c>
      <c r="I107" t="s">
        <v>177</v>
      </c>
      <c r="J107" t="s">
        <v>178</v>
      </c>
      <c r="K107" t="s">
        <v>179</v>
      </c>
      <c r="L107" t="s">
        <v>180</v>
      </c>
      <c r="M107">
        <v>0</v>
      </c>
      <c r="N107">
        <v>0</v>
      </c>
      <c r="O107">
        <v>0</v>
      </c>
      <c r="P107">
        <v>0</v>
      </c>
      <c r="Q107">
        <v>1.58</v>
      </c>
      <c r="R107">
        <v>15</v>
      </c>
      <c r="S107">
        <v>15</v>
      </c>
      <c r="T107">
        <v>1287</v>
      </c>
      <c r="U107">
        <v>226</v>
      </c>
      <c r="V107">
        <v>1513</v>
      </c>
      <c r="W107">
        <v>10</v>
      </c>
      <c r="X107">
        <v>1287</v>
      </c>
      <c r="Y107">
        <v>226</v>
      </c>
      <c r="Z107">
        <v>1513</v>
      </c>
      <c r="AA107">
        <v>266</v>
      </c>
      <c r="AB107">
        <v>266</v>
      </c>
      <c r="AC107">
        <v>0</v>
      </c>
      <c r="AD107">
        <v>0</v>
      </c>
      <c r="AE107">
        <v>1E-3</v>
      </c>
      <c r="AF107">
        <v>1.575</v>
      </c>
      <c r="AG107">
        <v>0</v>
      </c>
      <c r="AH107">
        <v>0</v>
      </c>
      <c r="AI107">
        <v>0.28799999999999998</v>
      </c>
      <c r="AJ107">
        <v>0</v>
      </c>
      <c r="AK107">
        <v>1E-3</v>
      </c>
      <c r="AL107">
        <v>0</v>
      </c>
      <c r="AM107">
        <v>7.0000000000000001E-3</v>
      </c>
      <c r="AN107">
        <v>1.1879999999999999</v>
      </c>
      <c r="AO107">
        <v>0.01</v>
      </c>
      <c r="AP107">
        <v>0</v>
      </c>
      <c r="AQ107">
        <v>0</v>
      </c>
      <c r="AR107">
        <v>0</v>
      </c>
      <c r="AS107">
        <v>0</v>
      </c>
      <c r="AT107" t="s">
        <v>243</v>
      </c>
      <c r="AU107" t="s">
        <v>243</v>
      </c>
      <c r="AV107" t="s">
        <v>549</v>
      </c>
    </row>
    <row r="108" spans="1:102" x14ac:dyDescent="0.2">
      <c r="A108" t="s">
        <v>45</v>
      </c>
      <c r="B108" t="s">
        <v>644</v>
      </c>
      <c r="C108" t="s">
        <v>265</v>
      </c>
      <c r="D108" t="s">
        <v>174</v>
      </c>
      <c r="E108" t="s">
        <v>175</v>
      </c>
      <c r="F108" t="s">
        <v>176</v>
      </c>
      <c r="G108">
        <v>0.5</v>
      </c>
      <c r="H108">
        <v>10</v>
      </c>
      <c r="I108" t="s">
        <v>177</v>
      </c>
      <c r="J108" t="s">
        <v>178</v>
      </c>
      <c r="K108" t="s">
        <v>179</v>
      </c>
      <c r="L108" t="s">
        <v>180</v>
      </c>
      <c r="M108">
        <v>0</v>
      </c>
      <c r="N108">
        <v>0</v>
      </c>
      <c r="O108">
        <v>0</v>
      </c>
      <c r="P108">
        <v>0</v>
      </c>
      <c r="Q108">
        <v>1.8</v>
      </c>
      <c r="R108">
        <v>26</v>
      </c>
      <c r="S108">
        <v>26</v>
      </c>
      <c r="T108">
        <v>2232</v>
      </c>
      <c r="U108">
        <v>374</v>
      </c>
      <c r="V108">
        <v>2606</v>
      </c>
      <c r="W108">
        <v>10</v>
      </c>
      <c r="X108">
        <v>2232</v>
      </c>
      <c r="Y108">
        <v>374</v>
      </c>
      <c r="Z108">
        <v>2606</v>
      </c>
      <c r="AA108">
        <v>266</v>
      </c>
      <c r="AB108">
        <v>266</v>
      </c>
      <c r="AC108">
        <v>0</v>
      </c>
      <c r="AD108">
        <v>0</v>
      </c>
      <c r="AE108">
        <v>1E-3</v>
      </c>
      <c r="AF108">
        <v>1.7949999999999999</v>
      </c>
      <c r="AG108">
        <v>0</v>
      </c>
      <c r="AH108">
        <v>0</v>
      </c>
      <c r="AI108">
        <v>0.216</v>
      </c>
      <c r="AJ108">
        <v>0</v>
      </c>
      <c r="AK108">
        <v>2E-3</v>
      </c>
      <c r="AL108">
        <v>0</v>
      </c>
      <c r="AM108">
        <v>6.0000000000000001E-3</v>
      </c>
      <c r="AN108">
        <v>1.4870000000000001</v>
      </c>
      <c r="AO108">
        <v>7.0000000000000001E-3</v>
      </c>
      <c r="AP108">
        <v>0</v>
      </c>
      <c r="AQ108">
        <v>0</v>
      </c>
      <c r="AR108">
        <v>0</v>
      </c>
      <c r="AS108">
        <v>0</v>
      </c>
      <c r="AT108" t="s">
        <v>243</v>
      </c>
      <c r="AU108" t="s">
        <v>243</v>
      </c>
      <c r="AV108" t="s">
        <v>549</v>
      </c>
    </row>
    <row r="109" spans="1:102" x14ac:dyDescent="0.2">
      <c r="A109" t="s">
        <v>45</v>
      </c>
      <c r="B109" t="s">
        <v>645</v>
      </c>
      <c r="C109" t="s">
        <v>265</v>
      </c>
      <c r="D109" t="s">
        <v>174</v>
      </c>
      <c r="E109" t="s">
        <v>175</v>
      </c>
      <c r="F109" t="s">
        <v>176</v>
      </c>
      <c r="G109">
        <v>0.5</v>
      </c>
      <c r="H109">
        <v>15</v>
      </c>
      <c r="I109" t="s">
        <v>177</v>
      </c>
      <c r="J109" t="s">
        <v>178</v>
      </c>
      <c r="K109" t="s">
        <v>179</v>
      </c>
      <c r="L109" t="s">
        <v>180</v>
      </c>
      <c r="M109">
        <v>0</v>
      </c>
      <c r="N109">
        <v>0</v>
      </c>
      <c r="O109">
        <v>0</v>
      </c>
      <c r="P109">
        <v>0</v>
      </c>
      <c r="Q109">
        <v>1.92</v>
      </c>
      <c r="R109">
        <v>39</v>
      </c>
      <c r="S109">
        <v>39</v>
      </c>
      <c r="T109">
        <v>3325</v>
      </c>
      <c r="U109">
        <v>540</v>
      </c>
      <c r="V109">
        <v>3865</v>
      </c>
      <c r="W109">
        <v>10</v>
      </c>
      <c r="X109">
        <v>3325</v>
      </c>
      <c r="Y109">
        <v>540</v>
      </c>
      <c r="Z109">
        <v>3865</v>
      </c>
      <c r="AA109">
        <v>266</v>
      </c>
      <c r="AB109">
        <v>266</v>
      </c>
      <c r="AC109">
        <v>0</v>
      </c>
      <c r="AD109">
        <v>0</v>
      </c>
      <c r="AE109">
        <v>1E-3</v>
      </c>
      <c r="AF109">
        <v>1.92</v>
      </c>
      <c r="AG109">
        <v>0</v>
      </c>
      <c r="AH109">
        <v>0</v>
      </c>
      <c r="AI109">
        <v>0.30599999999999999</v>
      </c>
      <c r="AJ109">
        <v>1E-3</v>
      </c>
      <c r="AK109">
        <v>2E-3</v>
      </c>
      <c r="AL109">
        <v>0</v>
      </c>
      <c r="AM109">
        <v>7.0000000000000001E-3</v>
      </c>
      <c r="AN109">
        <v>1.53</v>
      </c>
      <c r="AO109">
        <v>6.0000000000000001E-3</v>
      </c>
      <c r="AP109">
        <v>0</v>
      </c>
      <c r="AQ109">
        <v>0</v>
      </c>
      <c r="AR109">
        <v>0</v>
      </c>
      <c r="AS109">
        <v>0</v>
      </c>
      <c r="AT109" t="s">
        <v>243</v>
      </c>
      <c r="AU109" t="s">
        <v>243</v>
      </c>
      <c r="AV109" t="s">
        <v>549</v>
      </c>
    </row>
    <row r="110" spans="1:102" x14ac:dyDescent="0.2">
      <c r="A110" t="s">
        <v>45</v>
      </c>
      <c r="B110" t="s">
        <v>646</v>
      </c>
      <c r="C110" t="s">
        <v>265</v>
      </c>
      <c r="D110" t="s">
        <v>174</v>
      </c>
      <c r="E110" t="s">
        <v>175</v>
      </c>
      <c r="F110" t="s">
        <v>176</v>
      </c>
      <c r="G110">
        <v>0.5</v>
      </c>
      <c r="H110">
        <v>20</v>
      </c>
      <c r="I110" t="s">
        <v>177</v>
      </c>
      <c r="J110" t="s">
        <v>178</v>
      </c>
      <c r="K110" t="s">
        <v>179</v>
      </c>
      <c r="L110" t="s">
        <v>180</v>
      </c>
      <c r="M110">
        <v>0</v>
      </c>
      <c r="N110">
        <v>0</v>
      </c>
      <c r="O110">
        <v>0</v>
      </c>
      <c r="P110">
        <v>0</v>
      </c>
      <c r="Q110">
        <v>1.99</v>
      </c>
      <c r="R110">
        <v>53</v>
      </c>
      <c r="S110">
        <v>53</v>
      </c>
      <c r="T110">
        <v>4517</v>
      </c>
      <c r="U110">
        <v>778</v>
      </c>
      <c r="V110">
        <v>5295</v>
      </c>
      <c r="W110">
        <v>10</v>
      </c>
      <c r="X110">
        <v>4517</v>
      </c>
      <c r="Y110">
        <v>778</v>
      </c>
      <c r="Z110">
        <v>5295</v>
      </c>
      <c r="AA110">
        <v>266</v>
      </c>
      <c r="AB110">
        <v>266</v>
      </c>
      <c r="AC110">
        <v>0</v>
      </c>
      <c r="AD110">
        <v>0</v>
      </c>
      <c r="AE110">
        <v>1E-3</v>
      </c>
      <c r="AF110">
        <v>1.99</v>
      </c>
      <c r="AG110">
        <v>0</v>
      </c>
      <c r="AH110">
        <v>0</v>
      </c>
      <c r="AI110">
        <v>0.19900000000000001</v>
      </c>
      <c r="AJ110">
        <v>0</v>
      </c>
      <c r="AK110">
        <v>2E-3</v>
      </c>
      <c r="AL110">
        <v>0</v>
      </c>
      <c r="AM110">
        <v>6.0000000000000001E-3</v>
      </c>
      <c r="AN110">
        <v>1.7130000000000001</v>
      </c>
      <c r="AO110">
        <v>6.0000000000000001E-3</v>
      </c>
      <c r="AP110">
        <v>0</v>
      </c>
      <c r="AQ110">
        <v>0</v>
      </c>
      <c r="AR110">
        <v>0</v>
      </c>
      <c r="AS110">
        <v>0</v>
      </c>
      <c r="AT110" t="s">
        <v>243</v>
      </c>
      <c r="AU110" t="s">
        <v>243</v>
      </c>
      <c r="AV110" t="s">
        <v>549</v>
      </c>
    </row>
    <row r="111" spans="1:102" x14ac:dyDescent="0.2">
      <c r="A111" t="s">
        <v>45</v>
      </c>
      <c r="B111" t="s">
        <v>647</v>
      </c>
      <c r="C111" t="s">
        <v>265</v>
      </c>
      <c r="D111" t="s">
        <v>174</v>
      </c>
      <c r="E111" t="s">
        <v>175</v>
      </c>
      <c r="F111" t="s">
        <v>176</v>
      </c>
      <c r="G111">
        <v>0.5</v>
      </c>
      <c r="H111">
        <v>25</v>
      </c>
      <c r="I111" t="s">
        <v>177</v>
      </c>
      <c r="J111" t="s">
        <v>178</v>
      </c>
      <c r="K111" t="s">
        <v>179</v>
      </c>
      <c r="L111" t="s">
        <v>180</v>
      </c>
      <c r="M111">
        <v>12</v>
      </c>
      <c r="N111">
        <v>8.3333333333333329E-2</v>
      </c>
      <c r="O111">
        <v>0.5</v>
      </c>
      <c r="P111">
        <v>0.14285714285714279</v>
      </c>
      <c r="Q111">
        <v>2.23</v>
      </c>
      <c r="R111">
        <v>66</v>
      </c>
      <c r="S111">
        <v>66</v>
      </c>
      <c r="T111">
        <v>5613</v>
      </c>
      <c r="U111">
        <v>846</v>
      </c>
      <c r="V111">
        <v>6459</v>
      </c>
      <c r="W111">
        <v>10</v>
      </c>
      <c r="X111">
        <v>5613</v>
      </c>
      <c r="Y111">
        <v>846</v>
      </c>
      <c r="Z111">
        <v>6459</v>
      </c>
      <c r="AA111">
        <v>266</v>
      </c>
      <c r="AB111">
        <v>266</v>
      </c>
      <c r="AC111">
        <v>0</v>
      </c>
      <c r="AD111">
        <v>0</v>
      </c>
      <c r="AE111">
        <v>1E-3</v>
      </c>
      <c r="AF111">
        <v>2.2200000000000002</v>
      </c>
      <c r="AG111">
        <v>6.0000000000000001E-3</v>
      </c>
      <c r="AH111">
        <v>1E-3</v>
      </c>
      <c r="AI111">
        <v>0.22600000000000001</v>
      </c>
      <c r="AJ111">
        <v>0</v>
      </c>
      <c r="AK111">
        <v>2E-3</v>
      </c>
      <c r="AL111">
        <v>0</v>
      </c>
      <c r="AM111">
        <v>1.7999999999999999E-2</v>
      </c>
      <c r="AN111">
        <v>1.7110000000000001</v>
      </c>
      <c r="AO111">
        <v>0.11</v>
      </c>
      <c r="AP111">
        <v>1E-3</v>
      </c>
      <c r="AQ111">
        <v>0</v>
      </c>
      <c r="AR111">
        <v>0</v>
      </c>
      <c r="AS111">
        <v>0</v>
      </c>
      <c r="AT111" t="s">
        <v>243</v>
      </c>
      <c r="AU111" t="s">
        <v>243</v>
      </c>
      <c r="AV111" t="s">
        <v>549</v>
      </c>
    </row>
    <row r="112" spans="1:102" x14ac:dyDescent="0.2">
      <c r="A112" t="s">
        <v>46</v>
      </c>
      <c r="B112" t="s">
        <v>648</v>
      </c>
      <c r="C112" t="s">
        <v>548</v>
      </c>
      <c r="D112" t="s">
        <v>174</v>
      </c>
      <c r="E112" t="s">
        <v>175</v>
      </c>
      <c r="F112" t="s">
        <v>176</v>
      </c>
      <c r="G112">
        <v>0.5</v>
      </c>
      <c r="H112">
        <v>5</v>
      </c>
      <c r="I112" t="s">
        <v>177</v>
      </c>
      <c r="J112" t="s">
        <v>178</v>
      </c>
      <c r="K112" t="s">
        <v>179</v>
      </c>
      <c r="L112" t="s">
        <v>180</v>
      </c>
      <c r="M112">
        <v>499</v>
      </c>
      <c r="N112">
        <v>1.4028056112224451E-2</v>
      </c>
      <c r="O112">
        <v>1</v>
      </c>
      <c r="P112">
        <v>2.766798418972332E-2</v>
      </c>
      <c r="Q112">
        <v>0.84</v>
      </c>
      <c r="R112">
        <v>71</v>
      </c>
      <c r="S112">
        <v>71</v>
      </c>
      <c r="T112">
        <v>7035</v>
      </c>
      <c r="U112">
        <v>198</v>
      </c>
      <c r="V112">
        <v>7233</v>
      </c>
      <c r="W112">
        <v>3</v>
      </c>
      <c r="X112">
        <v>7035</v>
      </c>
      <c r="Y112">
        <v>198</v>
      </c>
      <c r="Z112">
        <v>7233</v>
      </c>
      <c r="AA112">
        <v>1426</v>
      </c>
      <c r="AB112">
        <v>1426</v>
      </c>
      <c r="AC112">
        <v>0</v>
      </c>
      <c r="AD112">
        <v>0</v>
      </c>
      <c r="AE112">
        <v>8.0000000000000002E-3</v>
      </c>
      <c r="AF112">
        <v>0.80200000000000005</v>
      </c>
      <c r="AG112">
        <v>0.01</v>
      </c>
      <c r="AH112">
        <v>1.6E-2</v>
      </c>
      <c r="AI112">
        <v>0.20399999999999999</v>
      </c>
      <c r="AJ112">
        <v>0.01</v>
      </c>
      <c r="AK112">
        <v>1.2E-2</v>
      </c>
      <c r="AL112">
        <v>0</v>
      </c>
      <c r="AM112">
        <v>1E-3</v>
      </c>
      <c r="AN112">
        <v>0.34300000000000003</v>
      </c>
      <c r="AO112">
        <v>4.5999999999999999E-2</v>
      </c>
      <c r="AP112">
        <v>1.6E-2</v>
      </c>
      <c r="AQ112">
        <v>0</v>
      </c>
      <c r="AR112">
        <v>0</v>
      </c>
      <c r="AS112">
        <v>0</v>
      </c>
      <c r="AT112" t="s">
        <v>243</v>
      </c>
      <c r="AU112" t="s">
        <v>243</v>
      </c>
      <c r="AV112" t="s">
        <v>549</v>
      </c>
    </row>
    <row r="113" spans="1:48" x14ac:dyDescent="0.2">
      <c r="A113" t="s">
        <v>46</v>
      </c>
      <c r="B113" t="s">
        <v>649</v>
      </c>
      <c r="C113" t="s">
        <v>548</v>
      </c>
      <c r="D113" t="s">
        <v>174</v>
      </c>
      <c r="E113" t="s">
        <v>175</v>
      </c>
      <c r="F113" t="s">
        <v>176</v>
      </c>
      <c r="G113">
        <v>0.5</v>
      </c>
      <c r="H113">
        <v>10</v>
      </c>
      <c r="I113" t="s">
        <v>177</v>
      </c>
      <c r="J113" t="s">
        <v>178</v>
      </c>
      <c r="K113" t="s">
        <v>179</v>
      </c>
      <c r="L113" t="s">
        <v>180</v>
      </c>
      <c r="M113">
        <v>392</v>
      </c>
      <c r="N113">
        <v>1.785714285714286E-2</v>
      </c>
      <c r="O113">
        <v>1</v>
      </c>
      <c r="P113">
        <v>3.5087719298245612E-2</v>
      </c>
      <c r="Q113">
        <v>1</v>
      </c>
      <c r="R113">
        <v>142</v>
      </c>
      <c r="S113">
        <v>142</v>
      </c>
      <c r="T113">
        <v>14025</v>
      </c>
      <c r="U113">
        <v>438</v>
      </c>
      <c r="V113">
        <v>14463</v>
      </c>
      <c r="W113">
        <v>5</v>
      </c>
      <c r="X113">
        <v>14025</v>
      </c>
      <c r="Y113">
        <v>438</v>
      </c>
      <c r="Z113">
        <v>14463</v>
      </c>
      <c r="AA113">
        <v>1426</v>
      </c>
      <c r="AB113">
        <v>1426</v>
      </c>
      <c r="AC113">
        <v>0</v>
      </c>
      <c r="AD113">
        <v>0</v>
      </c>
      <c r="AE113">
        <v>8.0000000000000002E-3</v>
      </c>
      <c r="AF113">
        <v>0.95699999999999996</v>
      </c>
      <c r="AG113">
        <v>2.4E-2</v>
      </c>
      <c r="AH113">
        <v>1.2E-2</v>
      </c>
      <c r="AI113">
        <v>0.23300000000000001</v>
      </c>
      <c r="AJ113">
        <v>1E-3</v>
      </c>
      <c r="AK113">
        <v>1.2E-2</v>
      </c>
      <c r="AL113">
        <v>0</v>
      </c>
      <c r="AM113">
        <v>1E-3</v>
      </c>
      <c r="AN113">
        <v>0.45700000000000002</v>
      </c>
      <c r="AO113">
        <v>0.06</v>
      </c>
      <c r="AP113">
        <v>1.2E-2</v>
      </c>
      <c r="AQ113">
        <v>0</v>
      </c>
      <c r="AR113">
        <v>0</v>
      </c>
      <c r="AS113">
        <v>0</v>
      </c>
      <c r="AT113" t="s">
        <v>243</v>
      </c>
      <c r="AU113" t="s">
        <v>243</v>
      </c>
      <c r="AV113" t="s">
        <v>549</v>
      </c>
    </row>
    <row r="114" spans="1:48" x14ac:dyDescent="0.2">
      <c r="A114" t="s">
        <v>46</v>
      </c>
      <c r="B114" t="s">
        <v>650</v>
      </c>
      <c r="C114" t="s">
        <v>548</v>
      </c>
      <c r="D114" t="s">
        <v>174</v>
      </c>
      <c r="E114" t="s">
        <v>175</v>
      </c>
      <c r="F114" t="s">
        <v>176</v>
      </c>
      <c r="G114">
        <v>0.5</v>
      </c>
      <c r="H114">
        <v>15</v>
      </c>
      <c r="I114" t="s">
        <v>177</v>
      </c>
      <c r="J114" t="s">
        <v>178</v>
      </c>
      <c r="K114" t="s">
        <v>179</v>
      </c>
      <c r="L114" t="s">
        <v>180</v>
      </c>
      <c r="M114">
        <v>343</v>
      </c>
      <c r="N114">
        <v>2.0408163265306121E-2</v>
      </c>
      <c r="O114">
        <v>1</v>
      </c>
      <c r="P114">
        <v>3.9999999999999987E-2</v>
      </c>
      <c r="Q114">
        <v>0.97</v>
      </c>
      <c r="R114">
        <v>213</v>
      </c>
      <c r="S114">
        <v>213</v>
      </c>
      <c r="T114">
        <v>21025</v>
      </c>
      <c r="U114">
        <v>594</v>
      </c>
      <c r="V114">
        <v>21619</v>
      </c>
      <c r="W114">
        <v>7</v>
      </c>
      <c r="X114">
        <v>21025</v>
      </c>
      <c r="Y114">
        <v>594</v>
      </c>
      <c r="Z114">
        <v>21619</v>
      </c>
      <c r="AA114">
        <v>1426</v>
      </c>
      <c r="AB114">
        <v>1426</v>
      </c>
      <c r="AC114">
        <v>0</v>
      </c>
      <c r="AD114">
        <v>0</v>
      </c>
      <c r="AE114">
        <v>5.0000000000000001E-3</v>
      </c>
      <c r="AF114">
        <v>0.91500000000000004</v>
      </c>
      <c r="AG114">
        <v>2.3E-2</v>
      </c>
      <c r="AH114">
        <v>2.7E-2</v>
      </c>
      <c r="AI114">
        <v>0.19600000000000001</v>
      </c>
      <c r="AJ114">
        <v>7.5999999999999998E-2</v>
      </c>
      <c r="AK114">
        <v>1.2E-2</v>
      </c>
      <c r="AL114">
        <v>0</v>
      </c>
      <c r="AM114">
        <v>1E-3</v>
      </c>
      <c r="AN114">
        <v>0.496</v>
      </c>
      <c r="AO114">
        <v>1.9E-2</v>
      </c>
      <c r="AP114">
        <v>2.7E-2</v>
      </c>
      <c r="AQ114">
        <v>0</v>
      </c>
      <c r="AR114">
        <v>0</v>
      </c>
      <c r="AS114">
        <v>0</v>
      </c>
      <c r="AT114" t="s">
        <v>243</v>
      </c>
      <c r="AU114" t="s">
        <v>243</v>
      </c>
      <c r="AV114" t="s">
        <v>549</v>
      </c>
    </row>
    <row r="115" spans="1:48" x14ac:dyDescent="0.2">
      <c r="A115" t="s">
        <v>46</v>
      </c>
      <c r="B115" t="s">
        <v>651</v>
      </c>
      <c r="C115" t="s">
        <v>548</v>
      </c>
      <c r="D115" t="s">
        <v>174</v>
      </c>
      <c r="E115" t="s">
        <v>175</v>
      </c>
      <c r="F115" t="s">
        <v>176</v>
      </c>
      <c r="G115">
        <v>0.5</v>
      </c>
      <c r="H115">
        <v>20</v>
      </c>
      <c r="I115" t="s">
        <v>177</v>
      </c>
      <c r="J115" t="s">
        <v>178</v>
      </c>
      <c r="K115" t="s">
        <v>179</v>
      </c>
      <c r="L115" t="s">
        <v>180</v>
      </c>
      <c r="M115">
        <v>329</v>
      </c>
      <c r="N115">
        <v>2.1276595744680851E-2</v>
      </c>
      <c r="O115">
        <v>1</v>
      </c>
      <c r="P115">
        <v>4.1666666666666671E-2</v>
      </c>
      <c r="Q115">
        <v>1.04</v>
      </c>
      <c r="R115">
        <v>285</v>
      </c>
      <c r="S115">
        <v>285</v>
      </c>
      <c r="T115">
        <v>28118</v>
      </c>
      <c r="U115">
        <v>794</v>
      </c>
      <c r="V115">
        <v>28912</v>
      </c>
      <c r="W115">
        <v>9</v>
      </c>
      <c r="X115">
        <v>28118</v>
      </c>
      <c r="Y115">
        <v>794</v>
      </c>
      <c r="Z115">
        <v>28912</v>
      </c>
      <c r="AA115">
        <v>1426</v>
      </c>
      <c r="AB115">
        <v>1426</v>
      </c>
      <c r="AC115">
        <v>0</v>
      </c>
      <c r="AD115">
        <v>0</v>
      </c>
      <c r="AE115">
        <v>4.0000000000000001E-3</v>
      </c>
      <c r="AF115">
        <v>1.0249999999999999</v>
      </c>
      <c r="AG115">
        <v>6.0000000000000001E-3</v>
      </c>
      <c r="AH115">
        <v>3.0000000000000001E-3</v>
      </c>
      <c r="AI115">
        <v>0.182</v>
      </c>
      <c r="AJ115">
        <v>2.9000000000000001E-2</v>
      </c>
      <c r="AK115">
        <v>0.01</v>
      </c>
      <c r="AL115">
        <v>0</v>
      </c>
      <c r="AM115">
        <v>0</v>
      </c>
      <c r="AN115">
        <v>0.63100000000000001</v>
      </c>
      <c r="AO115">
        <v>1.4E-2</v>
      </c>
      <c r="AP115">
        <v>3.0000000000000001E-3</v>
      </c>
      <c r="AQ115">
        <v>0</v>
      </c>
      <c r="AR115">
        <v>0</v>
      </c>
      <c r="AS115">
        <v>0</v>
      </c>
      <c r="AT115" t="s">
        <v>243</v>
      </c>
      <c r="AU115" t="s">
        <v>243</v>
      </c>
      <c r="AV115" t="s">
        <v>549</v>
      </c>
    </row>
    <row r="116" spans="1:48" x14ac:dyDescent="0.2">
      <c r="A116" t="s">
        <v>46</v>
      </c>
      <c r="B116" t="s">
        <v>652</v>
      </c>
      <c r="C116" t="s">
        <v>548</v>
      </c>
      <c r="D116" t="s">
        <v>174</v>
      </c>
      <c r="E116" t="s">
        <v>175</v>
      </c>
      <c r="F116" t="s">
        <v>176</v>
      </c>
      <c r="G116">
        <v>0.5</v>
      </c>
      <c r="H116">
        <v>25</v>
      </c>
      <c r="I116" t="s">
        <v>177</v>
      </c>
      <c r="J116" t="s">
        <v>178</v>
      </c>
      <c r="K116" t="s">
        <v>179</v>
      </c>
      <c r="L116" t="s">
        <v>180</v>
      </c>
      <c r="M116">
        <v>295</v>
      </c>
      <c r="N116">
        <v>2.3728813559322031E-2</v>
      </c>
      <c r="O116">
        <v>1</v>
      </c>
      <c r="P116">
        <v>4.6357615894039743E-2</v>
      </c>
      <c r="Q116">
        <v>1.07</v>
      </c>
      <c r="R116">
        <v>356</v>
      </c>
      <c r="S116">
        <v>356</v>
      </c>
      <c r="T116">
        <v>35115</v>
      </c>
      <c r="U116">
        <v>950</v>
      </c>
      <c r="V116">
        <v>36065</v>
      </c>
      <c r="W116">
        <v>12</v>
      </c>
      <c r="X116">
        <v>35115</v>
      </c>
      <c r="Y116">
        <v>950</v>
      </c>
      <c r="Z116">
        <v>36065</v>
      </c>
      <c r="AA116">
        <v>1426</v>
      </c>
      <c r="AB116">
        <v>1426</v>
      </c>
      <c r="AC116">
        <v>0</v>
      </c>
      <c r="AD116">
        <v>0</v>
      </c>
      <c r="AE116">
        <v>4.0000000000000001E-3</v>
      </c>
      <c r="AF116">
        <v>1.046</v>
      </c>
      <c r="AG116">
        <v>1.0999999999999999E-2</v>
      </c>
      <c r="AH116">
        <v>8.0000000000000002E-3</v>
      </c>
      <c r="AI116">
        <v>0.193</v>
      </c>
      <c r="AJ116">
        <v>1.4E-2</v>
      </c>
      <c r="AK116">
        <v>1.2E-2</v>
      </c>
      <c r="AL116">
        <v>0</v>
      </c>
      <c r="AM116">
        <v>1E-3</v>
      </c>
      <c r="AN116">
        <v>0.58199999999999996</v>
      </c>
      <c r="AO116">
        <v>0.05</v>
      </c>
      <c r="AP116">
        <v>8.0000000000000002E-3</v>
      </c>
      <c r="AQ116">
        <v>0</v>
      </c>
      <c r="AR116">
        <v>0</v>
      </c>
      <c r="AS116">
        <v>0</v>
      </c>
      <c r="AT116" t="s">
        <v>243</v>
      </c>
      <c r="AU116" t="s">
        <v>243</v>
      </c>
      <c r="AV116" t="s">
        <v>549</v>
      </c>
    </row>
    <row r="117" spans="1:48" x14ac:dyDescent="0.2">
      <c r="A117" t="s">
        <v>46</v>
      </c>
      <c r="B117" t="s">
        <v>653</v>
      </c>
      <c r="C117" t="s">
        <v>265</v>
      </c>
      <c r="D117" t="s">
        <v>174</v>
      </c>
      <c r="E117" t="s">
        <v>175</v>
      </c>
      <c r="F117" t="s">
        <v>176</v>
      </c>
      <c r="G117">
        <v>0.5</v>
      </c>
      <c r="H117">
        <v>5</v>
      </c>
      <c r="I117" t="s">
        <v>177</v>
      </c>
      <c r="J117" t="s">
        <v>178</v>
      </c>
      <c r="K117" t="s">
        <v>179</v>
      </c>
      <c r="L117" t="s">
        <v>180</v>
      </c>
      <c r="M117">
        <v>72</v>
      </c>
      <c r="N117">
        <v>8.3333333333333329E-2</v>
      </c>
      <c r="O117">
        <v>0.8571428571428571</v>
      </c>
      <c r="P117">
        <v>0.15189873417721519</v>
      </c>
      <c r="Q117">
        <v>1.44</v>
      </c>
      <c r="R117">
        <v>71</v>
      </c>
      <c r="S117">
        <v>71</v>
      </c>
      <c r="T117">
        <v>7038</v>
      </c>
      <c r="U117">
        <v>170</v>
      </c>
      <c r="V117">
        <v>7208</v>
      </c>
      <c r="W117">
        <v>10</v>
      </c>
      <c r="X117">
        <v>7038</v>
      </c>
      <c r="Y117">
        <v>170</v>
      </c>
      <c r="Z117">
        <v>7208</v>
      </c>
      <c r="AA117">
        <v>1426</v>
      </c>
      <c r="AB117">
        <v>1426</v>
      </c>
      <c r="AC117">
        <v>0</v>
      </c>
      <c r="AD117">
        <v>0</v>
      </c>
      <c r="AE117">
        <v>3.0000000000000001E-3</v>
      </c>
      <c r="AF117">
        <v>1.3859999999999999</v>
      </c>
      <c r="AG117">
        <v>3.9E-2</v>
      </c>
      <c r="AH117">
        <v>7.0000000000000001E-3</v>
      </c>
      <c r="AI117">
        <v>0.20899999999999999</v>
      </c>
      <c r="AJ117">
        <v>1.4999999999999999E-2</v>
      </c>
      <c r="AK117">
        <v>6.0000000000000001E-3</v>
      </c>
      <c r="AL117">
        <v>0</v>
      </c>
      <c r="AM117">
        <v>0.125</v>
      </c>
      <c r="AN117">
        <v>0.81200000000000006</v>
      </c>
      <c r="AO117">
        <v>2.8000000000000001E-2</v>
      </c>
      <c r="AP117">
        <v>7.0000000000000001E-3</v>
      </c>
      <c r="AQ117">
        <v>0</v>
      </c>
      <c r="AR117">
        <v>0</v>
      </c>
      <c r="AS117">
        <v>0</v>
      </c>
      <c r="AT117" t="s">
        <v>243</v>
      </c>
      <c r="AU117" t="s">
        <v>243</v>
      </c>
      <c r="AV117" t="s">
        <v>549</v>
      </c>
    </row>
    <row r="118" spans="1:48" x14ac:dyDescent="0.2">
      <c r="A118" t="s">
        <v>46</v>
      </c>
      <c r="B118" t="s">
        <v>654</v>
      </c>
      <c r="C118" t="s">
        <v>265</v>
      </c>
      <c r="D118" t="s">
        <v>174</v>
      </c>
      <c r="E118" t="s">
        <v>175</v>
      </c>
      <c r="F118" t="s">
        <v>176</v>
      </c>
      <c r="G118">
        <v>0.5</v>
      </c>
      <c r="H118">
        <v>10</v>
      </c>
      <c r="I118" t="s">
        <v>177</v>
      </c>
      <c r="J118" t="s">
        <v>178</v>
      </c>
      <c r="K118" t="s">
        <v>179</v>
      </c>
      <c r="L118" t="s">
        <v>180</v>
      </c>
      <c r="M118">
        <v>45</v>
      </c>
      <c r="N118">
        <v>0.1333333333333333</v>
      </c>
      <c r="O118">
        <v>0.8571428571428571</v>
      </c>
      <c r="P118">
        <v>0.23076923076923081</v>
      </c>
      <c r="Q118">
        <v>1.66</v>
      </c>
      <c r="R118">
        <v>142</v>
      </c>
      <c r="S118">
        <v>142</v>
      </c>
      <c r="T118">
        <v>14115</v>
      </c>
      <c r="U118">
        <v>326</v>
      </c>
      <c r="V118">
        <v>14441</v>
      </c>
      <c r="W118">
        <v>10</v>
      </c>
      <c r="X118">
        <v>14115</v>
      </c>
      <c r="Y118">
        <v>326</v>
      </c>
      <c r="Z118">
        <v>14441</v>
      </c>
      <c r="AA118">
        <v>1426</v>
      </c>
      <c r="AB118">
        <v>1426</v>
      </c>
      <c r="AC118">
        <v>0</v>
      </c>
      <c r="AD118">
        <v>0</v>
      </c>
      <c r="AE118">
        <v>4.0000000000000001E-3</v>
      </c>
      <c r="AF118">
        <v>1.613</v>
      </c>
      <c r="AG118">
        <v>3.5000000000000003E-2</v>
      </c>
      <c r="AH118">
        <v>6.0000000000000001E-3</v>
      </c>
      <c r="AI118">
        <v>0.20100000000000001</v>
      </c>
      <c r="AJ118">
        <v>1.7000000000000001E-2</v>
      </c>
      <c r="AK118">
        <v>1.2E-2</v>
      </c>
      <c r="AL118">
        <v>0</v>
      </c>
      <c r="AM118">
        <v>9.8000000000000004E-2</v>
      </c>
      <c r="AN118">
        <v>1.054</v>
      </c>
      <c r="AO118">
        <v>3.2000000000000001E-2</v>
      </c>
      <c r="AP118">
        <v>6.0000000000000001E-3</v>
      </c>
      <c r="AQ118">
        <v>0</v>
      </c>
      <c r="AR118">
        <v>0</v>
      </c>
      <c r="AS118">
        <v>0</v>
      </c>
      <c r="AT118" t="s">
        <v>243</v>
      </c>
      <c r="AU118" t="s">
        <v>243</v>
      </c>
      <c r="AV118" t="s">
        <v>549</v>
      </c>
    </row>
    <row r="119" spans="1:48" x14ac:dyDescent="0.2">
      <c r="A119" t="s">
        <v>46</v>
      </c>
      <c r="B119" t="s">
        <v>655</v>
      </c>
      <c r="C119" t="s">
        <v>265</v>
      </c>
      <c r="D119" t="s">
        <v>174</v>
      </c>
      <c r="E119" t="s">
        <v>175</v>
      </c>
      <c r="F119" t="s">
        <v>176</v>
      </c>
      <c r="G119">
        <v>0.5</v>
      </c>
      <c r="H119">
        <v>15</v>
      </c>
      <c r="I119" t="s">
        <v>177</v>
      </c>
      <c r="J119" t="s">
        <v>178</v>
      </c>
      <c r="K119" t="s">
        <v>179</v>
      </c>
      <c r="L119" t="s">
        <v>180</v>
      </c>
      <c r="M119">
        <v>45</v>
      </c>
      <c r="N119">
        <v>0.1333333333333333</v>
      </c>
      <c r="O119">
        <v>0.8571428571428571</v>
      </c>
      <c r="P119">
        <v>0.23076923076923081</v>
      </c>
      <c r="Q119">
        <v>1.93</v>
      </c>
      <c r="R119">
        <v>213</v>
      </c>
      <c r="S119">
        <v>213</v>
      </c>
      <c r="T119">
        <v>21191</v>
      </c>
      <c r="U119">
        <v>510</v>
      </c>
      <c r="V119">
        <v>21701</v>
      </c>
      <c r="W119">
        <v>10</v>
      </c>
      <c r="X119">
        <v>21191</v>
      </c>
      <c r="Y119">
        <v>510</v>
      </c>
      <c r="Z119">
        <v>21701</v>
      </c>
      <c r="AA119">
        <v>1426</v>
      </c>
      <c r="AB119">
        <v>1426</v>
      </c>
      <c r="AC119">
        <v>0</v>
      </c>
      <c r="AD119">
        <v>0</v>
      </c>
      <c r="AE119">
        <v>4.0000000000000001E-3</v>
      </c>
      <c r="AF119">
        <v>1.913</v>
      </c>
      <c r="AG119">
        <v>0.01</v>
      </c>
      <c r="AH119">
        <v>3.0000000000000001E-3</v>
      </c>
      <c r="AI119">
        <v>0.26600000000000001</v>
      </c>
      <c r="AJ119">
        <v>2.9000000000000001E-2</v>
      </c>
      <c r="AK119">
        <v>1.2E-2</v>
      </c>
      <c r="AL119">
        <v>0</v>
      </c>
      <c r="AM119">
        <v>0.13100000000000001</v>
      </c>
      <c r="AN119">
        <v>1.367</v>
      </c>
      <c r="AO119">
        <v>1.6E-2</v>
      </c>
      <c r="AP119">
        <v>3.0000000000000001E-3</v>
      </c>
      <c r="AQ119">
        <v>0</v>
      </c>
      <c r="AR119">
        <v>0</v>
      </c>
      <c r="AS119">
        <v>0</v>
      </c>
      <c r="AT119" t="s">
        <v>243</v>
      </c>
      <c r="AU119" t="s">
        <v>243</v>
      </c>
      <c r="AV119" t="s">
        <v>549</v>
      </c>
    </row>
    <row r="120" spans="1:48" x14ac:dyDescent="0.2">
      <c r="A120" t="s">
        <v>46</v>
      </c>
      <c r="B120" t="s">
        <v>656</v>
      </c>
      <c r="C120" t="s">
        <v>265</v>
      </c>
      <c r="D120" t="s">
        <v>174</v>
      </c>
      <c r="E120" t="s">
        <v>175</v>
      </c>
      <c r="F120" t="s">
        <v>176</v>
      </c>
      <c r="G120">
        <v>0.5</v>
      </c>
      <c r="H120">
        <v>20</v>
      </c>
      <c r="I120" t="s">
        <v>177</v>
      </c>
      <c r="J120" t="s">
        <v>178</v>
      </c>
      <c r="K120" t="s">
        <v>179</v>
      </c>
      <c r="L120" t="s">
        <v>180</v>
      </c>
      <c r="M120">
        <v>54</v>
      </c>
      <c r="N120">
        <v>0.12962962962962959</v>
      </c>
      <c r="O120">
        <v>1</v>
      </c>
      <c r="P120">
        <v>0.22950819672131151</v>
      </c>
      <c r="Q120">
        <v>1.83</v>
      </c>
      <c r="R120">
        <v>285</v>
      </c>
      <c r="S120">
        <v>285</v>
      </c>
      <c r="T120">
        <v>28260</v>
      </c>
      <c r="U120">
        <v>668</v>
      </c>
      <c r="V120">
        <v>28928</v>
      </c>
      <c r="W120">
        <v>10</v>
      </c>
      <c r="X120">
        <v>28260</v>
      </c>
      <c r="Y120">
        <v>668</v>
      </c>
      <c r="Z120">
        <v>28928</v>
      </c>
      <c r="AA120">
        <v>1426</v>
      </c>
      <c r="AB120">
        <v>1426</v>
      </c>
      <c r="AC120">
        <v>0</v>
      </c>
      <c r="AD120">
        <v>0</v>
      </c>
      <c r="AE120">
        <v>4.0000000000000001E-3</v>
      </c>
      <c r="AF120">
        <v>1.8069999999999999</v>
      </c>
      <c r="AG120">
        <v>0.01</v>
      </c>
      <c r="AH120">
        <v>8.0000000000000002E-3</v>
      </c>
      <c r="AI120">
        <v>0.186</v>
      </c>
      <c r="AJ120">
        <v>2.1999999999999999E-2</v>
      </c>
      <c r="AK120">
        <v>1.2E-2</v>
      </c>
      <c r="AL120">
        <v>0</v>
      </c>
      <c r="AM120">
        <v>7.9000000000000001E-2</v>
      </c>
      <c r="AN120">
        <v>1.2949999999999999</v>
      </c>
      <c r="AO120">
        <v>4.3999999999999997E-2</v>
      </c>
      <c r="AP120">
        <v>8.0000000000000002E-3</v>
      </c>
      <c r="AQ120">
        <v>0</v>
      </c>
      <c r="AR120">
        <v>0</v>
      </c>
      <c r="AS120">
        <v>0</v>
      </c>
      <c r="AT120" t="s">
        <v>243</v>
      </c>
      <c r="AU120" t="s">
        <v>243</v>
      </c>
      <c r="AV120" t="s">
        <v>549</v>
      </c>
    </row>
    <row r="121" spans="1:48" x14ac:dyDescent="0.2">
      <c r="A121" t="s">
        <v>46</v>
      </c>
      <c r="B121" t="s">
        <v>657</v>
      </c>
      <c r="C121" t="s">
        <v>265</v>
      </c>
      <c r="D121" t="s">
        <v>174</v>
      </c>
      <c r="E121" t="s">
        <v>175</v>
      </c>
      <c r="F121" t="s">
        <v>176</v>
      </c>
      <c r="G121">
        <v>0.5</v>
      </c>
      <c r="H121">
        <v>25</v>
      </c>
      <c r="I121" t="s">
        <v>177</v>
      </c>
      <c r="J121" t="s">
        <v>178</v>
      </c>
      <c r="K121" t="s">
        <v>179</v>
      </c>
      <c r="L121" t="s">
        <v>180</v>
      </c>
      <c r="M121">
        <v>84</v>
      </c>
      <c r="N121">
        <v>8.3333333333333329E-2</v>
      </c>
      <c r="O121">
        <v>1</v>
      </c>
      <c r="P121">
        <v>0.15384615384615391</v>
      </c>
      <c r="Q121">
        <v>2.19</v>
      </c>
      <c r="R121">
        <v>356</v>
      </c>
      <c r="S121">
        <v>356</v>
      </c>
      <c r="T121">
        <v>35287</v>
      </c>
      <c r="U121">
        <v>838</v>
      </c>
      <c r="V121">
        <v>36125</v>
      </c>
      <c r="W121">
        <v>20</v>
      </c>
      <c r="X121">
        <v>35287</v>
      </c>
      <c r="Y121">
        <v>838</v>
      </c>
      <c r="Z121">
        <v>36125</v>
      </c>
      <c r="AA121">
        <v>1426</v>
      </c>
      <c r="AB121">
        <v>1426</v>
      </c>
      <c r="AC121">
        <v>0</v>
      </c>
      <c r="AD121">
        <v>0</v>
      </c>
      <c r="AE121">
        <v>4.0000000000000001E-3</v>
      </c>
      <c r="AF121">
        <v>2.1720000000000002</v>
      </c>
      <c r="AG121">
        <v>8.0000000000000002E-3</v>
      </c>
      <c r="AH121">
        <v>3.0000000000000001E-3</v>
      </c>
      <c r="AI121">
        <v>0.184</v>
      </c>
      <c r="AJ121">
        <v>1.4999999999999999E-2</v>
      </c>
      <c r="AK121">
        <v>1.2E-2</v>
      </c>
      <c r="AL121">
        <v>0</v>
      </c>
      <c r="AM121">
        <v>0.126</v>
      </c>
      <c r="AN121">
        <v>1.6919999999999999</v>
      </c>
      <c r="AO121">
        <v>1.7999999999999999E-2</v>
      </c>
      <c r="AP121">
        <v>3.0000000000000001E-3</v>
      </c>
      <c r="AQ121">
        <v>0</v>
      </c>
      <c r="AR121">
        <v>0</v>
      </c>
      <c r="AS121">
        <v>0</v>
      </c>
      <c r="AT121" t="s">
        <v>243</v>
      </c>
      <c r="AU121" t="s">
        <v>243</v>
      </c>
      <c r="AV121" t="s">
        <v>549</v>
      </c>
    </row>
    <row r="122" spans="1:48" x14ac:dyDescent="0.2">
      <c r="A122" t="s">
        <v>47</v>
      </c>
      <c r="B122" t="s">
        <v>658</v>
      </c>
      <c r="C122" t="s">
        <v>548</v>
      </c>
      <c r="D122" t="s">
        <v>174</v>
      </c>
      <c r="E122" t="s">
        <v>175</v>
      </c>
      <c r="F122" t="s">
        <v>176</v>
      </c>
      <c r="G122">
        <v>0.5</v>
      </c>
      <c r="H122">
        <v>5</v>
      </c>
      <c r="I122" t="s">
        <v>177</v>
      </c>
      <c r="J122" t="s">
        <v>178</v>
      </c>
      <c r="K122" t="s">
        <v>179</v>
      </c>
      <c r="L122" t="s">
        <v>180</v>
      </c>
      <c r="M122">
        <v>188</v>
      </c>
      <c r="N122">
        <v>3.1914893617021267E-2</v>
      </c>
      <c r="O122">
        <v>0.75</v>
      </c>
      <c r="P122">
        <v>6.1224489795918373E-2</v>
      </c>
      <c r="Q122">
        <v>0.61</v>
      </c>
      <c r="R122">
        <v>13</v>
      </c>
      <c r="S122">
        <v>13</v>
      </c>
      <c r="T122">
        <v>1966</v>
      </c>
      <c r="U122">
        <v>26</v>
      </c>
      <c r="V122">
        <v>1992</v>
      </c>
      <c r="W122">
        <v>1</v>
      </c>
      <c r="X122">
        <v>1966</v>
      </c>
      <c r="Y122">
        <v>26</v>
      </c>
      <c r="Z122">
        <v>1992</v>
      </c>
      <c r="AA122">
        <v>270</v>
      </c>
      <c r="AB122">
        <v>270</v>
      </c>
      <c r="AC122">
        <v>0</v>
      </c>
      <c r="AD122">
        <v>0</v>
      </c>
      <c r="AE122">
        <v>2E-3</v>
      </c>
      <c r="AF122">
        <v>0.59899999999999998</v>
      </c>
      <c r="AG122">
        <v>4.0000000000000001E-3</v>
      </c>
      <c r="AH122">
        <v>1E-3</v>
      </c>
      <c r="AI122">
        <v>0.20499999999999999</v>
      </c>
      <c r="AJ122">
        <v>2E-3</v>
      </c>
      <c r="AK122">
        <v>0.01</v>
      </c>
      <c r="AL122">
        <v>0</v>
      </c>
      <c r="AM122">
        <v>0</v>
      </c>
      <c r="AN122">
        <v>0.13300000000000001</v>
      </c>
      <c r="AO122">
        <v>2.7E-2</v>
      </c>
      <c r="AP122">
        <v>1E-3</v>
      </c>
      <c r="AQ122">
        <v>0</v>
      </c>
      <c r="AR122">
        <v>0</v>
      </c>
      <c r="AS122">
        <v>0</v>
      </c>
      <c r="AT122" t="s">
        <v>243</v>
      </c>
      <c r="AU122" t="s">
        <v>243</v>
      </c>
      <c r="AV122" t="s">
        <v>549</v>
      </c>
    </row>
    <row r="123" spans="1:48" x14ac:dyDescent="0.2">
      <c r="A123" t="s">
        <v>47</v>
      </c>
      <c r="B123" t="s">
        <v>659</v>
      </c>
      <c r="C123" t="s">
        <v>548</v>
      </c>
      <c r="D123" t="s">
        <v>174</v>
      </c>
      <c r="E123" t="s">
        <v>175</v>
      </c>
      <c r="F123" t="s">
        <v>176</v>
      </c>
      <c r="G123">
        <v>0.5</v>
      </c>
      <c r="H123">
        <v>10</v>
      </c>
      <c r="I123" t="s">
        <v>177</v>
      </c>
      <c r="J123" t="s">
        <v>178</v>
      </c>
      <c r="K123" t="s">
        <v>179</v>
      </c>
      <c r="L123" t="s">
        <v>180</v>
      </c>
      <c r="M123">
        <v>143</v>
      </c>
      <c r="N123">
        <v>4.195804195804196E-2</v>
      </c>
      <c r="O123">
        <v>0.75</v>
      </c>
      <c r="P123">
        <v>7.9470198675496692E-2</v>
      </c>
      <c r="Q123">
        <v>0.51</v>
      </c>
      <c r="R123">
        <v>27</v>
      </c>
      <c r="S123">
        <v>27</v>
      </c>
      <c r="T123">
        <v>4091</v>
      </c>
      <c r="U123">
        <v>54</v>
      </c>
      <c r="V123">
        <v>4145</v>
      </c>
      <c r="W123">
        <v>1</v>
      </c>
      <c r="X123">
        <v>4091</v>
      </c>
      <c r="Y123">
        <v>54</v>
      </c>
      <c r="Z123">
        <v>4145</v>
      </c>
      <c r="AA123">
        <v>270</v>
      </c>
      <c r="AB123">
        <v>270</v>
      </c>
      <c r="AC123">
        <v>0</v>
      </c>
      <c r="AD123">
        <v>0</v>
      </c>
      <c r="AE123">
        <v>1E-3</v>
      </c>
      <c r="AF123">
        <v>0.5</v>
      </c>
      <c r="AG123">
        <v>4.0000000000000001E-3</v>
      </c>
      <c r="AH123">
        <v>1E-3</v>
      </c>
      <c r="AI123">
        <v>0.15</v>
      </c>
      <c r="AJ123">
        <v>1E-3</v>
      </c>
      <c r="AK123">
        <v>0.01</v>
      </c>
      <c r="AL123">
        <v>0</v>
      </c>
      <c r="AM123">
        <v>0</v>
      </c>
      <c r="AN123">
        <v>0.128</v>
      </c>
      <c r="AO123">
        <v>0.03</v>
      </c>
      <c r="AP123">
        <v>1E-3</v>
      </c>
      <c r="AQ123">
        <v>0</v>
      </c>
      <c r="AR123">
        <v>0</v>
      </c>
      <c r="AS123">
        <v>0</v>
      </c>
      <c r="AT123" t="s">
        <v>243</v>
      </c>
      <c r="AU123" t="s">
        <v>243</v>
      </c>
      <c r="AV123" t="s">
        <v>549</v>
      </c>
    </row>
    <row r="124" spans="1:48" x14ac:dyDescent="0.2">
      <c r="A124" t="s">
        <v>47</v>
      </c>
      <c r="B124" t="s">
        <v>660</v>
      </c>
      <c r="C124" t="s">
        <v>548</v>
      </c>
      <c r="D124" t="s">
        <v>174</v>
      </c>
      <c r="E124" t="s">
        <v>175</v>
      </c>
      <c r="F124" t="s">
        <v>176</v>
      </c>
      <c r="G124">
        <v>0.5</v>
      </c>
      <c r="H124">
        <v>15</v>
      </c>
      <c r="I124" t="s">
        <v>177</v>
      </c>
      <c r="J124" t="s">
        <v>178</v>
      </c>
      <c r="K124" t="s">
        <v>179</v>
      </c>
      <c r="L124" t="s">
        <v>180</v>
      </c>
      <c r="M124">
        <v>125</v>
      </c>
      <c r="N124">
        <v>4.8000000000000001E-2</v>
      </c>
      <c r="O124">
        <v>0.75</v>
      </c>
      <c r="P124">
        <v>9.0225563909774445E-2</v>
      </c>
      <c r="Q124">
        <v>0.57999999999999996</v>
      </c>
      <c r="R124">
        <v>40</v>
      </c>
      <c r="S124">
        <v>40</v>
      </c>
      <c r="T124">
        <v>6038</v>
      </c>
      <c r="U124">
        <v>80</v>
      </c>
      <c r="V124">
        <v>6118</v>
      </c>
      <c r="W124">
        <v>2</v>
      </c>
      <c r="X124">
        <v>6038</v>
      </c>
      <c r="Y124">
        <v>80</v>
      </c>
      <c r="Z124">
        <v>6118</v>
      </c>
      <c r="AA124">
        <v>270</v>
      </c>
      <c r="AB124">
        <v>270</v>
      </c>
      <c r="AC124">
        <v>0</v>
      </c>
      <c r="AD124">
        <v>0</v>
      </c>
      <c r="AE124">
        <v>1E-3</v>
      </c>
      <c r="AF124">
        <v>0.57499999999999996</v>
      </c>
      <c r="AG124">
        <v>5.0000000000000001E-3</v>
      </c>
      <c r="AH124">
        <v>1E-3</v>
      </c>
      <c r="AI124">
        <v>0.153</v>
      </c>
      <c r="AJ124">
        <v>1E-3</v>
      </c>
      <c r="AK124">
        <v>0.01</v>
      </c>
      <c r="AL124">
        <v>0</v>
      </c>
      <c r="AM124">
        <v>1E-3</v>
      </c>
      <c r="AN124">
        <v>0.11899999999999999</v>
      </c>
      <c r="AO124">
        <v>0.16300000000000001</v>
      </c>
      <c r="AP124">
        <v>1E-3</v>
      </c>
      <c r="AQ124">
        <v>0</v>
      </c>
      <c r="AR124">
        <v>0</v>
      </c>
      <c r="AS124">
        <v>0</v>
      </c>
      <c r="AT124" t="s">
        <v>243</v>
      </c>
      <c r="AU124" t="s">
        <v>243</v>
      </c>
      <c r="AV124" t="s">
        <v>549</v>
      </c>
    </row>
    <row r="125" spans="1:48" x14ac:dyDescent="0.2">
      <c r="A125" t="s">
        <v>47</v>
      </c>
      <c r="B125" t="s">
        <v>661</v>
      </c>
      <c r="C125" t="s">
        <v>548</v>
      </c>
      <c r="D125" t="s">
        <v>174</v>
      </c>
      <c r="E125" t="s">
        <v>175</v>
      </c>
      <c r="F125" t="s">
        <v>176</v>
      </c>
      <c r="G125">
        <v>0.5</v>
      </c>
      <c r="H125">
        <v>20</v>
      </c>
      <c r="I125" t="s">
        <v>177</v>
      </c>
      <c r="J125" t="s">
        <v>178</v>
      </c>
      <c r="K125" t="s">
        <v>179</v>
      </c>
      <c r="L125" t="s">
        <v>180</v>
      </c>
      <c r="M125">
        <v>107</v>
      </c>
      <c r="N125">
        <v>5.6074766355140193E-2</v>
      </c>
      <c r="O125">
        <v>0.75</v>
      </c>
      <c r="P125">
        <v>0.1043478260869565</v>
      </c>
      <c r="Q125">
        <v>0.52</v>
      </c>
      <c r="R125">
        <v>54</v>
      </c>
      <c r="S125">
        <v>54</v>
      </c>
      <c r="T125">
        <v>8163</v>
      </c>
      <c r="U125">
        <v>108</v>
      </c>
      <c r="V125">
        <v>8271</v>
      </c>
      <c r="W125">
        <v>2</v>
      </c>
      <c r="X125">
        <v>8163</v>
      </c>
      <c r="Y125">
        <v>108</v>
      </c>
      <c r="Z125">
        <v>8271</v>
      </c>
      <c r="AA125">
        <v>270</v>
      </c>
      <c r="AB125">
        <v>270</v>
      </c>
      <c r="AC125">
        <v>0</v>
      </c>
      <c r="AD125">
        <v>0</v>
      </c>
      <c r="AE125">
        <v>1E-3</v>
      </c>
      <c r="AF125">
        <v>0.50800000000000001</v>
      </c>
      <c r="AG125">
        <v>6.0000000000000001E-3</v>
      </c>
      <c r="AH125">
        <v>8.9999999999999993E-3</v>
      </c>
      <c r="AI125">
        <v>0.13</v>
      </c>
      <c r="AJ125">
        <v>1E-3</v>
      </c>
      <c r="AK125">
        <v>0.01</v>
      </c>
      <c r="AL125">
        <v>0</v>
      </c>
      <c r="AM125">
        <v>0</v>
      </c>
      <c r="AN125">
        <v>0.123</v>
      </c>
      <c r="AO125">
        <v>6.9000000000000006E-2</v>
      </c>
      <c r="AP125">
        <v>8.9999999999999993E-3</v>
      </c>
      <c r="AQ125">
        <v>0</v>
      </c>
      <c r="AR125">
        <v>0</v>
      </c>
      <c r="AS125">
        <v>0</v>
      </c>
      <c r="AT125" t="s">
        <v>243</v>
      </c>
      <c r="AU125" t="s">
        <v>243</v>
      </c>
      <c r="AV125" t="s">
        <v>549</v>
      </c>
    </row>
    <row r="126" spans="1:48" x14ac:dyDescent="0.2">
      <c r="A126" t="s">
        <v>47</v>
      </c>
      <c r="B126" t="s">
        <v>662</v>
      </c>
      <c r="C126" t="s">
        <v>548</v>
      </c>
      <c r="D126" t="s">
        <v>174</v>
      </c>
      <c r="E126" t="s">
        <v>175</v>
      </c>
      <c r="F126" t="s">
        <v>176</v>
      </c>
      <c r="G126">
        <v>0.5</v>
      </c>
      <c r="H126">
        <v>25</v>
      </c>
      <c r="I126" t="s">
        <v>177</v>
      </c>
      <c r="J126" t="s">
        <v>178</v>
      </c>
      <c r="K126" t="s">
        <v>179</v>
      </c>
      <c r="L126" t="s">
        <v>180</v>
      </c>
      <c r="M126">
        <v>113</v>
      </c>
      <c r="N126">
        <v>5.3097345132743362E-2</v>
      </c>
      <c r="O126">
        <v>0.75</v>
      </c>
      <c r="P126">
        <v>9.9173553719008267E-2</v>
      </c>
      <c r="Q126">
        <v>0.55000000000000004</v>
      </c>
      <c r="R126">
        <v>67</v>
      </c>
      <c r="S126">
        <v>67</v>
      </c>
      <c r="T126">
        <v>10143</v>
      </c>
      <c r="U126">
        <v>134</v>
      </c>
      <c r="V126">
        <v>10277</v>
      </c>
      <c r="W126">
        <v>3</v>
      </c>
      <c r="X126">
        <v>10143</v>
      </c>
      <c r="Y126">
        <v>134</v>
      </c>
      <c r="Z126">
        <v>10277</v>
      </c>
      <c r="AA126">
        <v>270</v>
      </c>
      <c r="AB126">
        <v>270</v>
      </c>
      <c r="AC126">
        <v>0</v>
      </c>
      <c r="AD126">
        <v>0</v>
      </c>
      <c r="AE126">
        <v>1E-3</v>
      </c>
      <c r="AF126">
        <v>0.54500000000000004</v>
      </c>
      <c r="AG126">
        <v>5.0000000000000001E-3</v>
      </c>
      <c r="AH126">
        <v>3.0000000000000001E-3</v>
      </c>
      <c r="AI126">
        <v>0.14599999999999999</v>
      </c>
      <c r="AJ126">
        <v>1E-3</v>
      </c>
      <c r="AK126">
        <v>0.01</v>
      </c>
      <c r="AL126">
        <v>0</v>
      </c>
      <c r="AM126">
        <v>0</v>
      </c>
      <c r="AN126">
        <v>0.16800000000000001</v>
      </c>
      <c r="AO126">
        <v>3.1E-2</v>
      </c>
      <c r="AP126">
        <v>3.0000000000000001E-3</v>
      </c>
      <c r="AQ126">
        <v>0</v>
      </c>
      <c r="AR126">
        <v>0</v>
      </c>
      <c r="AS126">
        <v>0</v>
      </c>
      <c r="AT126" t="s">
        <v>243</v>
      </c>
      <c r="AU126" t="s">
        <v>243</v>
      </c>
      <c r="AV126" t="s">
        <v>549</v>
      </c>
    </row>
    <row r="127" spans="1:48" x14ac:dyDescent="0.2">
      <c r="A127" t="s">
        <v>47</v>
      </c>
      <c r="B127" t="s">
        <v>663</v>
      </c>
      <c r="C127" t="s">
        <v>265</v>
      </c>
      <c r="D127" t="s">
        <v>174</v>
      </c>
      <c r="E127" t="s">
        <v>175</v>
      </c>
      <c r="F127" t="s">
        <v>176</v>
      </c>
      <c r="G127">
        <v>0.5</v>
      </c>
      <c r="H127">
        <v>5</v>
      </c>
      <c r="I127" t="s">
        <v>177</v>
      </c>
      <c r="J127" t="s">
        <v>178</v>
      </c>
      <c r="K127" t="s">
        <v>179</v>
      </c>
      <c r="L127" t="s">
        <v>180</v>
      </c>
      <c r="M127">
        <v>153</v>
      </c>
      <c r="N127">
        <v>4.5751633986928102E-2</v>
      </c>
      <c r="O127">
        <v>0.875</v>
      </c>
      <c r="P127">
        <v>8.6956521739130432E-2</v>
      </c>
      <c r="Q127">
        <v>0.78</v>
      </c>
      <c r="R127">
        <v>15</v>
      </c>
      <c r="S127">
        <v>15</v>
      </c>
      <c r="T127">
        <v>2250</v>
      </c>
      <c r="U127">
        <v>30</v>
      </c>
      <c r="V127">
        <v>2280</v>
      </c>
      <c r="W127">
        <v>10</v>
      </c>
      <c r="X127">
        <v>2250</v>
      </c>
      <c r="Y127">
        <v>30</v>
      </c>
      <c r="Z127">
        <v>2280</v>
      </c>
      <c r="AA127">
        <v>270</v>
      </c>
      <c r="AB127">
        <v>270</v>
      </c>
      <c r="AC127">
        <v>0</v>
      </c>
      <c r="AD127">
        <v>0</v>
      </c>
      <c r="AE127">
        <v>1E-3</v>
      </c>
      <c r="AF127">
        <v>0.77</v>
      </c>
      <c r="AG127">
        <v>2E-3</v>
      </c>
      <c r="AH127">
        <v>2E-3</v>
      </c>
      <c r="AI127">
        <v>0.14599999999999999</v>
      </c>
      <c r="AJ127">
        <v>1E-3</v>
      </c>
      <c r="AK127">
        <v>8.9999999999999993E-3</v>
      </c>
      <c r="AL127">
        <v>0</v>
      </c>
      <c r="AM127">
        <v>6.0000000000000001E-3</v>
      </c>
      <c r="AN127">
        <v>0.39700000000000002</v>
      </c>
      <c r="AO127">
        <v>5.8000000000000003E-2</v>
      </c>
      <c r="AP127">
        <v>2E-3</v>
      </c>
      <c r="AQ127">
        <v>0</v>
      </c>
      <c r="AR127">
        <v>0</v>
      </c>
      <c r="AS127">
        <v>0</v>
      </c>
      <c r="AT127" t="s">
        <v>243</v>
      </c>
      <c r="AU127" t="s">
        <v>243</v>
      </c>
      <c r="AV127" t="s">
        <v>549</v>
      </c>
    </row>
    <row r="128" spans="1:48" x14ac:dyDescent="0.2">
      <c r="A128" t="s">
        <v>47</v>
      </c>
      <c r="B128" t="s">
        <v>664</v>
      </c>
      <c r="C128" t="s">
        <v>265</v>
      </c>
      <c r="D128" t="s">
        <v>174</v>
      </c>
      <c r="E128" t="s">
        <v>175</v>
      </c>
      <c r="F128" t="s">
        <v>176</v>
      </c>
      <c r="G128">
        <v>0.5</v>
      </c>
      <c r="H128">
        <v>10</v>
      </c>
      <c r="I128" t="s">
        <v>177</v>
      </c>
      <c r="J128" t="s">
        <v>178</v>
      </c>
      <c r="K128" t="s">
        <v>179</v>
      </c>
      <c r="L128" t="s">
        <v>180</v>
      </c>
      <c r="M128">
        <v>99</v>
      </c>
      <c r="N128">
        <v>6.0606060606060608E-2</v>
      </c>
      <c r="O128">
        <v>0.75</v>
      </c>
      <c r="P128">
        <v>0.1121495327102804</v>
      </c>
      <c r="Q128">
        <v>0.87</v>
      </c>
      <c r="R128">
        <v>27</v>
      </c>
      <c r="S128">
        <v>27</v>
      </c>
      <c r="T128">
        <v>4064</v>
      </c>
      <c r="U128">
        <v>54</v>
      </c>
      <c r="V128">
        <v>4118</v>
      </c>
      <c r="W128">
        <v>10</v>
      </c>
      <c r="X128">
        <v>4064</v>
      </c>
      <c r="Y128">
        <v>54</v>
      </c>
      <c r="Z128">
        <v>4118</v>
      </c>
      <c r="AA128">
        <v>270</v>
      </c>
      <c r="AB128">
        <v>270</v>
      </c>
      <c r="AC128">
        <v>0</v>
      </c>
      <c r="AD128">
        <v>0</v>
      </c>
      <c r="AE128">
        <v>1E-3</v>
      </c>
      <c r="AF128">
        <v>0.86099999999999999</v>
      </c>
      <c r="AG128">
        <v>5.0000000000000001E-3</v>
      </c>
      <c r="AH128">
        <v>1E-3</v>
      </c>
      <c r="AI128">
        <v>0.14699999999999999</v>
      </c>
      <c r="AJ128">
        <v>1E-3</v>
      </c>
      <c r="AK128">
        <v>0.01</v>
      </c>
      <c r="AL128">
        <v>0</v>
      </c>
      <c r="AM128">
        <v>1.7000000000000001E-2</v>
      </c>
      <c r="AN128">
        <v>0.51600000000000001</v>
      </c>
      <c r="AO128">
        <v>2.1999999999999999E-2</v>
      </c>
      <c r="AP128">
        <v>1E-3</v>
      </c>
      <c r="AQ128">
        <v>0</v>
      </c>
      <c r="AR128">
        <v>0</v>
      </c>
      <c r="AS128">
        <v>0</v>
      </c>
      <c r="AT128" t="s">
        <v>243</v>
      </c>
      <c r="AU128" t="s">
        <v>243</v>
      </c>
      <c r="AV128" t="s">
        <v>549</v>
      </c>
    </row>
    <row r="129" spans="1:102" x14ac:dyDescent="0.2">
      <c r="A129" t="s">
        <v>47</v>
      </c>
      <c r="B129" t="s">
        <v>665</v>
      </c>
      <c r="C129" t="s">
        <v>265</v>
      </c>
      <c r="D129" t="s">
        <v>174</v>
      </c>
      <c r="E129" t="s">
        <v>175</v>
      </c>
      <c r="F129" t="s">
        <v>176</v>
      </c>
      <c r="G129">
        <v>0.5</v>
      </c>
      <c r="H129">
        <v>15</v>
      </c>
      <c r="I129" t="s">
        <v>177</v>
      </c>
      <c r="J129" t="s">
        <v>178</v>
      </c>
      <c r="K129" t="s">
        <v>179</v>
      </c>
      <c r="L129" t="s">
        <v>180</v>
      </c>
      <c r="M129">
        <v>85</v>
      </c>
      <c r="N129">
        <v>5.8823529411764712E-2</v>
      </c>
      <c r="O129">
        <v>0.625</v>
      </c>
      <c r="P129">
        <v>0.1075268817204301</v>
      </c>
      <c r="Q129">
        <v>1.05</v>
      </c>
      <c r="R129">
        <v>40</v>
      </c>
      <c r="S129">
        <v>40</v>
      </c>
      <c r="T129">
        <v>6028</v>
      </c>
      <c r="U129">
        <v>80</v>
      </c>
      <c r="V129">
        <v>6108</v>
      </c>
      <c r="W129">
        <v>10</v>
      </c>
      <c r="X129">
        <v>6028</v>
      </c>
      <c r="Y129">
        <v>80</v>
      </c>
      <c r="Z129">
        <v>6108</v>
      </c>
      <c r="AA129">
        <v>270</v>
      </c>
      <c r="AB129">
        <v>270</v>
      </c>
      <c r="AC129">
        <v>0</v>
      </c>
      <c r="AD129">
        <v>0</v>
      </c>
      <c r="AE129">
        <v>1E-3</v>
      </c>
      <c r="AF129">
        <v>1.0249999999999999</v>
      </c>
      <c r="AG129">
        <v>0.02</v>
      </c>
      <c r="AH129">
        <v>1E-3</v>
      </c>
      <c r="AI129">
        <v>0.13400000000000001</v>
      </c>
      <c r="AJ129">
        <v>1E-3</v>
      </c>
      <c r="AK129">
        <v>8.9999999999999993E-3</v>
      </c>
      <c r="AL129">
        <v>0</v>
      </c>
      <c r="AM129">
        <v>3.5000000000000003E-2</v>
      </c>
      <c r="AN129">
        <v>0.59</v>
      </c>
      <c r="AO129">
        <v>3.5999999999999997E-2</v>
      </c>
      <c r="AP129">
        <v>1E-3</v>
      </c>
      <c r="AQ129">
        <v>0</v>
      </c>
      <c r="AR129">
        <v>0</v>
      </c>
      <c r="AS129">
        <v>0</v>
      </c>
      <c r="AT129" t="s">
        <v>243</v>
      </c>
      <c r="AU129" t="s">
        <v>243</v>
      </c>
      <c r="AV129" t="s">
        <v>549</v>
      </c>
    </row>
    <row r="130" spans="1:102" x14ac:dyDescent="0.2">
      <c r="A130" t="s">
        <v>47</v>
      </c>
      <c r="B130" t="s">
        <v>666</v>
      </c>
      <c r="C130" t="s">
        <v>265</v>
      </c>
      <c r="D130" t="s">
        <v>174</v>
      </c>
      <c r="E130" t="s">
        <v>175</v>
      </c>
      <c r="F130" t="s">
        <v>176</v>
      </c>
      <c r="G130">
        <v>0.5</v>
      </c>
      <c r="H130">
        <v>20</v>
      </c>
      <c r="I130" t="s">
        <v>177</v>
      </c>
      <c r="J130" t="s">
        <v>178</v>
      </c>
      <c r="K130" t="s">
        <v>179</v>
      </c>
      <c r="L130" t="s">
        <v>180</v>
      </c>
      <c r="M130">
        <v>75</v>
      </c>
      <c r="N130">
        <v>9.3333333333333338E-2</v>
      </c>
      <c r="O130">
        <v>0.875</v>
      </c>
      <c r="P130">
        <v>0.16867469879518071</v>
      </c>
      <c r="Q130">
        <v>1.21</v>
      </c>
      <c r="R130">
        <v>54</v>
      </c>
      <c r="S130">
        <v>54</v>
      </c>
      <c r="T130">
        <v>8110</v>
      </c>
      <c r="U130">
        <v>108</v>
      </c>
      <c r="V130">
        <v>8218</v>
      </c>
      <c r="W130">
        <v>10</v>
      </c>
      <c r="X130">
        <v>8110</v>
      </c>
      <c r="Y130">
        <v>108</v>
      </c>
      <c r="Z130">
        <v>8218</v>
      </c>
      <c r="AA130">
        <v>270</v>
      </c>
      <c r="AB130">
        <v>270</v>
      </c>
      <c r="AC130">
        <v>0</v>
      </c>
      <c r="AD130">
        <v>0</v>
      </c>
      <c r="AE130">
        <v>1E-3</v>
      </c>
      <c r="AF130">
        <v>1.1970000000000001</v>
      </c>
      <c r="AG130">
        <v>1.0999999999999999E-2</v>
      </c>
      <c r="AH130">
        <v>2E-3</v>
      </c>
      <c r="AI130">
        <v>0.14599999999999999</v>
      </c>
      <c r="AJ130">
        <v>1E-3</v>
      </c>
      <c r="AK130">
        <v>0.01</v>
      </c>
      <c r="AL130">
        <v>0</v>
      </c>
      <c r="AM130">
        <v>5.3999999999999999E-2</v>
      </c>
      <c r="AN130">
        <v>0.73799999999999999</v>
      </c>
      <c r="AO130">
        <v>4.8000000000000001E-2</v>
      </c>
      <c r="AP130">
        <v>2E-3</v>
      </c>
      <c r="AQ130">
        <v>0</v>
      </c>
      <c r="AR130">
        <v>0</v>
      </c>
      <c r="AS130">
        <v>0</v>
      </c>
      <c r="AT130" t="s">
        <v>243</v>
      </c>
      <c r="AU130" t="s">
        <v>243</v>
      </c>
      <c r="AV130" t="s">
        <v>549</v>
      </c>
    </row>
    <row r="131" spans="1:102" x14ac:dyDescent="0.2">
      <c r="A131" t="s">
        <v>47</v>
      </c>
      <c r="B131" t="s">
        <v>667</v>
      </c>
      <c r="C131" t="s">
        <v>265</v>
      </c>
      <c r="D131" t="s">
        <v>174</v>
      </c>
      <c r="E131" t="s">
        <v>175</v>
      </c>
      <c r="F131" t="s">
        <v>176</v>
      </c>
      <c r="G131">
        <v>0.5</v>
      </c>
      <c r="H131">
        <v>25</v>
      </c>
      <c r="I131" t="s">
        <v>177</v>
      </c>
      <c r="J131" t="s">
        <v>178</v>
      </c>
      <c r="K131" t="s">
        <v>179</v>
      </c>
      <c r="L131" t="s">
        <v>180</v>
      </c>
      <c r="M131">
        <v>78</v>
      </c>
      <c r="N131">
        <v>6.4102564102564097E-2</v>
      </c>
      <c r="O131">
        <v>0.625</v>
      </c>
      <c r="P131">
        <v>0.1162790697674418</v>
      </c>
      <c r="Q131">
        <v>1.1200000000000001</v>
      </c>
      <c r="R131">
        <v>67</v>
      </c>
      <c r="S131">
        <v>67</v>
      </c>
      <c r="T131">
        <v>10074</v>
      </c>
      <c r="U131">
        <v>134</v>
      </c>
      <c r="V131">
        <v>10208</v>
      </c>
      <c r="W131">
        <v>10</v>
      </c>
      <c r="X131">
        <v>10074</v>
      </c>
      <c r="Y131">
        <v>134</v>
      </c>
      <c r="Z131">
        <v>10208</v>
      </c>
      <c r="AA131">
        <v>270</v>
      </c>
      <c r="AB131">
        <v>270</v>
      </c>
      <c r="AC131">
        <v>0</v>
      </c>
      <c r="AD131">
        <v>0</v>
      </c>
      <c r="AE131">
        <v>1E-3</v>
      </c>
      <c r="AF131">
        <v>1.1040000000000001</v>
      </c>
      <c r="AG131">
        <v>1.0999999999999999E-2</v>
      </c>
      <c r="AH131">
        <v>2E-3</v>
      </c>
      <c r="AI131">
        <v>0.13500000000000001</v>
      </c>
      <c r="AJ131">
        <v>1E-3</v>
      </c>
      <c r="AK131">
        <v>0.01</v>
      </c>
      <c r="AL131">
        <v>0</v>
      </c>
      <c r="AM131">
        <v>5.3999999999999999E-2</v>
      </c>
      <c r="AN131">
        <v>0.66400000000000003</v>
      </c>
      <c r="AO131">
        <v>3.5000000000000003E-2</v>
      </c>
      <c r="AP131">
        <v>2E-3</v>
      </c>
      <c r="AQ131">
        <v>0</v>
      </c>
      <c r="AR131">
        <v>0</v>
      </c>
      <c r="AS131">
        <v>0</v>
      </c>
      <c r="AT131" t="s">
        <v>243</v>
      </c>
      <c r="AU131" t="s">
        <v>243</v>
      </c>
      <c r="AV131" t="s">
        <v>549</v>
      </c>
    </row>
    <row r="132" spans="1:102" x14ac:dyDescent="0.2">
      <c r="A132" t="s">
        <v>48</v>
      </c>
      <c r="B132" t="s">
        <v>668</v>
      </c>
      <c r="C132" t="s">
        <v>548</v>
      </c>
      <c r="D132" t="s">
        <v>174</v>
      </c>
      <c r="E132" t="s">
        <v>175</v>
      </c>
      <c r="F132" t="s">
        <v>176</v>
      </c>
      <c r="G132">
        <v>0.5</v>
      </c>
      <c r="H132">
        <v>5</v>
      </c>
      <c r="I132" t="s">
        <v>177</v>
      </c>
      <c r="J132" t="s">
        <v>178</v>
      </c>
      <c r="K132" t="s">
        <v>179</v>
      </c>
      <c r="L132" t="s">
        <v>180</v>
      </c>
      <c r="M132">
        <v>458</v>
      </c>
      <c r="N132">
        <v>1.310043668122271E-2</v>
      </c>
      <c r="O132">
        <v>0.54545454545454541</v>
      </c>
      <c r="P132">
        <v>2.5586353944562899E-2</v>
      </c>
      <c r="Q132">
        <v>0.94</v>
      </c>
      <c r="R132">
        <v>71</v>
      </c>
      <c r="S132">
        <v>71</v>
      </c>
      <c r="T132">
        <v>12400</v>
      </c>
      <c r="U132">
        <v>156</v>
      </c>
      <c r="V132">
        <v>12556</v>
      </c>
      <c r="W132">
        <v>3</v>
      </c>
      <c r="X132">
        <v>12400</v>
      </c>
      <c r="Y132">
        <v>156</v>
      </c>
      <c r="Z132">
        <v>12556</v>
      </c>
      <c r="AA132">
        <v>1421</v>
      </c>
      <c r="AB132">
        <v>1421</v>
      </c>
      <c r="AC132">
        <v>0</v>
      </c>
      <c r="AD132">
        <v>0</v>
      </c>
      <c r="AE132">
        <v>4.0000000000000001E-3</v>
      </c>
      <c r="AF132">
        <v>0.91600000000000004</v>
      </c>
      <c r="AG132">
        <v>8.9999999999999993E-3</v>
      </c>
      <c r="AH132">
        <v>6.0000000000000001E-3</v>
      </c>
      <c r="AI132">
        <v>8.6999999999999994E-2</v>
      </c>
      <c r="AJ132">
        <v>1.7000000000000001E-2</v>
      </c>
      <c r="AK132">
        <v>2.5000000000000001E-2</v>
      </c>
      <c r="AL132">
        <v>0</v>
      </c>
      <c r="AM132">
        <v>0</v>
      </c>
      <c r="AN132">
        <v>0.54900000000000004</v>
      </c>
      <c r="AO132">
        <v>2.1999999999999999E-2</v>
      </c>
      <c r="AP132">
        <v>6.0000000000000001E-3</v>
      </c>
      <c r="AQ132">
        <v>0</v>
      </c>
      <c r="AR132">
        <v>0</v>
      </c>
      <c r="AS132">
        <v>0</v>
      </c>
      <c r="AT132" t="s">
        <v>243</v>
      </c>
      <c r="AU132" t="s">
        <v>243</v>
      </c>
      <c r="AV132" t="s">
        <v>549</v>
      </c>
    </row>
    <row r="133" spans="1:102" x14ac:dyDescent="0.2">
      <c r="A133" t="s">
        <v>48</v>
      </c>
      <c r="B133" t="s">
        <v>669</v>
      </c>
      <c r="C133" t="s">
        <v>548</v>
      </c>
      <c r="D133" t="s">
        <v>174</v>
      </c>
      <c r="E133" t="s">
        <v>175</v>
      </c>
      <c r="F133" t="s">
        <v>176</v>
      </c>
      <c r="G133">
        <v>0.5</v>
      </c>
      <c r="H133">
        <v>10</v>
      </c>
      <c r="I133" t="s">
        <v>177</v>
      </c>
      <c r="J133" t="s">
        <v>178</v>
      </c>
      <c r="K133" t="s">
        <v>179</v>
      </c>
      <c r="L133" t="s">
        <v>180</v>
      </c>
      <c r="M133">
        <v>381</v>
      </c>
      <c r="N133">
        <v>1.8372703412073491E-2</v>
      </c>
      <c r="O133">
        <v>0.63636363636363635</v>
      </c>
      <c r="P133">
        <v>3.5714285714285712E-2</v>
      </c>
      <c r="Q133">
        <v>0.9</v>
      </c>
      <c r="R133">
        <v>142</v>
      </c>
      <c r="S133">
        <v>142</v>
      </c>
      <c r="T133">
        <v>23926</v>
      </c>
      <c r="U133">
        <v>298</v>
      </c>
      <c r="V133">
        <v>24224</v>
      </c>
      <c r="W133">
        <v>5</v>
      </c>
      <c r="X133">
        <v>23926</v>
      </c>
      <c r="Y133">
        <v>298</v>
      </c>
      <c r="Z133">
        <v>24224</v>
      </c>
      <c r="AA133">
        <v>1421</v>
      </c>
      <c r="AB133">
        <v>1421</v>
      </c>
      <c r="AC133">
        <v>0</v>
      </c>
      <c r="AD133">
        <v>0</v>
      </c>
      <c r="AE133">
        <v>4.0000000000000001E-3</v>
      </c>
      <c r="AF133">
        <v>0.874</v>
      </c>
      <c r="AG133">
        <v>1.4999999999999999E-2</v>
      </c>
      <c r="AH133">
        <v>4.0000000000000001E-3</v>
      </c>
      <c r="AI133">
        <v>6.4000000000000001E-2</v>
      </c>
      <c r="AJ133">
        <v>1E-3</v>
      </c>
      <c r="AK133">
        <v>1.7000000000000001E-2</v>
      </c>
      <c r="AL133">
        <v>0</v>
      </c>
      <c r="AM133">
        <v>0</v>
      </c>
      <c r="AN133">
        <v>0.53900000000000003</v>
      </c>
      <c r="AO133">
        <v>1.7999999999999999E-2</v>
      </c>
      <c r="AP133">
        <v>4.0000000000000001E-3</v>
      </c>
      <c r="AQ133">
        <v>0</v>
      </c>
      <c r="AR133">
        <v>0</v>
      </c>
      <c r="AS133">
        <v>0</v>
      </c>
      <c r="AT133" t="s">
        <v>243</v>
      </c>
      <c r="AU133" t="s">
        <v>243</v>
      </c>
      <c r="AV133" t="s">
        <v>549</v>
      </c>
    </row>
    <row r="134" spans="1:102" x14ac:dyDescent="0.2">
      <c r="A134" t="s">
        <v>48</v>
      </c>
      <c r="B134" t="s">
        <v>670</v>
      </c>
      <c r="C134" t="s">
        <v>548</v>
      </c>
      <c r="D134" t="s">
        <v>174</v>
      </c>
      <c r="E134" t="s">
        <v>175</v>
      </c>
      <c r="F134" t="s">
        <v>176</v>
      </c>
      <c r="G134">
        <v>0.5</v>
      </c>
      <c r="H134">
        <v>15</v>
      </c>
      <c r="I134" t="s">
        <v>177</v>
      </c>
      <c r="J134" t="s">
        <v>178</v>
      </c>
      <c r="K134" t="s">
        <v>179</v>
      </c>
      <c r="L134" t="s">
        <v>180</v>
      </c>
      <c r="M134">
        <v>357</v>
      </c>
      <c r="N134">
        <v>2.240896358543417E-2</v>
      </c>
      <c r="O134">
        <v>0.72727272727272729</v>
      </c>
      <c r="P134">
        <v>4.3478260869565223E-2</v>
      </c>
      <c r="Q134">
        <v>0.9</v>
      </c>
      <c r="R134">
        <v>213</v>
      </c>
      <c r="S134">
        <v>213</v>
      </c>
      <c r="T134">
        <v>35540</v>
      </c>
      <c r="U134">
        <v>440</v>
      </c>
      <c r="V134">
        <v>35980</v>
      </c>
      <c r="W134">
        <v>7</v>
      </c>
      <c r="X134">
        <v>35540</v>
      </c>
      <c r="Y134">
        <v>440</v>
      </c>
      <c r="Z134">
        <v>35980</v>
      </c>
      <c r="AA134">
        <v>1421</v>
      </c>
      <c r="AB134">
        <v>1421</v>
      </c>
      <c r="AC134">
        <v>0</v>
      </c>
      <c r="AD134">
        <v>0</v>
      </c>
      <c r="AE134">
        <v>4.0000000000000001E-3</v>
      </c>
      <c r="AF134">
        <v>0.88100000000000001</v>
      </c>
      <c r="AG134">
        <v>0.01</v>
      </c>
      <c r="AH134">
        <v>3.0000000000000001E-3</v>
      </c>
      <c r="AI134">
        <v>7.3999999999999996E-2</v>
      </c>
      <c r="AJ134">
        <v>3.1E-2</v>
      </c>
      <c r="AK134">
        <v>2.5000000000000001E-2</v>
      </c>
      <c r="AL134">
        <v>0</v>
      </c>
      <c r="AM134">
        <v>1E-3</v>
      </c>
      <c r="AN134">
        <v>0.61799999999999999</v>
      </c>
      <c r="AO134">
        <v>2.9000000000000001E-2</v>
      </c>
      <c r="AP134">
        <v>3.0000000000000001E-3</v>
      </c>
      <c r="AQ134">
        <v>0</v>
      </c>
      <c r="AR134">
        <v>0</v>
      </c>
      <c r="AS134">
        <v>0</v>
      </c>
      <c r="AT134" t="s">
        <v>243</v>
      </c>
      <c r="AU134" t="s">
        <v>243</v>
      </c>
      <c r="AV134" t="s">
        <v>549</v>
      </c>
    </row>
    <row r="135" spans="1:102" x14ac:dyDescent="0.2">
      <c r="A135" t="s">
        <v>48</v>
      </c>
      <c r="B135" t="s">
        <v>671</v>
      </c>
      <c r="C135" t="s">
        <v>548</v>
      </c>
      <c r="D135" t="s">
        <v>174</v>
      </c>
      <c r="E135" t="s">
        <v>175</v>
      </c>
      <c r="F135" t="s">
        <v>176</v>
      </c>
      <c r="G135">
        <v>0.5</v>
      </c>
      <c r="H135">
        <v>20</v>
      </c>
      <c r="I135" t="s">
        <v>177</v>
      </c>
      <c r="J135" t="s">
        <v>178</v>
      </c>
      <c r="K135" t="s">
        <v>179</v>
      </c>
      <c r="L135" t="s">
        <v>180</v>
      </c>
      <c r="M135">
        <v>330</v>
      </c>
      <c r="N135">
        <v>2.121212121212121E-2</v>
      </c>
      <c r="O135">
        <v>0.63636363636363635</v>
      </c>
      <c r="P135">
        <v>4.1055718475073312E-2</v>
      </c>
      <c r="Q135">
        <v>0.99</v>
      </c>
      <c r="R135">
        <v>284</v>
      </c>
      <c r="S135">
        <v>284</v>
      </c>
      <c r="T135">
        <v>47214</v>
      </c>
      <c r="U135">
        <v>596</v>
      </c>
      <c r="V135">
        <v>47810</v>
      </c>
      <c r="W135">
        <v>9</v>
      </c>
      <c r="X135">
        <v>47214</v>
      </c>
      <c r="Y135">
        <v>596</v>
      </c>
      <c r="Z135">
        <v>47810</v>
      </c>
      <c r="AA135">
        <v>1421</v>
      </c>
      <c r="AB135">
        <v>1421</v>
      </c>
      <c r="AC135">
        <v>0</v>
      </c>
      <c r="AD135">
        <v>0</v>
      </c>
      <c r="AE135">
        <v>4.0000000000000001E-3</v>
      </c>
      <c r="AF135">
        <v>0.96</v>
      </c>
      <c r="AG135">
        <v>0.02</v>
      </c>
      <c r="AH135">
        <v>4.0000000000000001E-3</v>
      </c>
      <c r="AI135">
        <v>7.0000000000000007E-2</v>
      </c>
      <c r="AJ135">
        <v>0.02</v>
      </c>
      <c r="AK135">
        <v>2.5000000000000001E-2</v>
      </c>
      <c r="AL135">
        <v>0</v>
      </c>
      <c r="AM135">
        <v>1E-3</v>
      </c>
      <c r="AN135">
        <v>0.70199999999999996</v>
      </c>
      <c r="AO135">
        <v>1.9E-2</v>
      </c>
      <c r="AP135">
        <v>4.0000000000000001E-3</v>
      </c>
      <c r="AQ135">
        <v>0</v>
      </c>
      <c r="AR135">
        <v>0</v>
      </c>
      <c r="AS135">
        <v>0</v>
      </c>
      <c r="AT135" t="s">
        <v>243</v>
      </c>
      <c r="AU135" t="s">
        <v>243</v>
      </c>
      <c r="AV135" t="s">
        <v>549</v>
      </c>
    </row>
    <row r="136" spans="1:102" x14ac:dyDescent="0.2">
      <c r="A136" t="s">
        <v>48</v>
      </c>
      <c r="B136" t="s">
        <v>672</v>
      </c>
      <c r="C136" t="s">
        <v>548</v>
      </c>
      <c r="D136" t="s">
        <v>174</v>
      </c>
      <c r="E136" t="s">
        <v>175</v>
      </c>
      <c r="F136" t="s">
        <v>176</v>
      </c>
      <c r="G136">
        <v>0.5</v>
      </c>
      <c r="H136">
        <v>25</v>
      </c>
      <c r="I136" t="s">
        <v>177</v>
      </c>
      <c r="J136" t="s">
        <v>178</v>
      </c>
      <c r="K136" t="s">
        <v>179</v>
      </c>
      <c r="L136" t="s">
        <v>180</v>
      </c>
      <c r="M136">
        <v>318</v>
      </c>
      <c r="N136">
        <v>2.20125786163522E-2</v>
      </c>
      <c r="O136">
        <v>0.63636363636363635</v>
      </c>
      <c r="P136">
        <v>4.2553191489361701E-2</v>
      </c>
      <c r="Q136">
        <v>1.1499999999999999</v>
      </c>
      <c r="R136">
        <v>355</v>
      </c>
      <c r="S136">
        <v>355</v>
      </c>
      <c r="T136">
        <v>59092</v>
      </c>
      <c r="U136">
        <v>738</v>
      </c>
      <c r="V136">
        <v>59830</v>
      </c>
      <c r="W136">
        <v>12</v>
      </c>
      <c r="X136">
        <v>59092</v>
      </c>
      <c r="Y136">
        <v>738</v>
      </c>
      <c r="Z136">
        <v>59830</v>
      </c>
      <c r="AA136">
        <v>1421</v>
      </c>
      <c r="AB136">
        <v>1421</v>
      </c>
      <c r="AC136">
        <v>0</v>
      </c>
      <c r="AD136">
        <v>0</v>
      </c>
      <c r="AE136">
        <v>3.0000000000000001E-3</v>
      </c>
      <c r="AF136">
        <v>1.127</v>
      </c>
      <c r="AG136">
        <v>1.0999999999999999E-2</v>
      </c>
      <c r="AH136">
        <v>5.0000000000000001E-3</v>
      </c>
      <c r="AI136">
        <v>6.8000000000000005E-2</v>
      </c>
      <c r="AJ136">
        <v>3.7999999999999999E-2</v>
      </c>
      <c r="AK136">
        <v>1.2999999999999999E-2</v>
      </c>
      <c r="AL136">
        <v>0</v>
      </c>
      <c r="AM136">
        <v>1E-3</v>
      </c>
      <c r="AN136">
        <v>0.79100000000000004</v>
      </c>
      <c r="AO136">
        <v>3.9E-2</v>
      </c>
      <c r="AP136">
        <v>5.0000000000000001E-3</v>
      </c>
      <c r="AQ136">
        <v>0</v>
      </c>
      <c r="AR136">
        <v>0</v>
      </c>
      <c r="AS136">
        <v>0</v>
      </c>
      <c r="AT136" t="s">
        <v>243</v>
      </c>
      <c r="AU136" t="s">
        <v>243</v>
      </c>
      <c r="AV136" t="s">
        <v>549</v>
      </c>
    </row>
    <row r="137" spans="1:102" x14ac:dyDescent="0.2">
      <c r="A137" t="s">
        <v>48</v>
      </c>
      <c r="B137" t="s">
        <v>673</v>
      </c>
      <c r="C137" t="s">
        <v>265</v>
      </c>
      <c r="D137" t="s">
        <v>174</v>
      </c>
      <c r="E137" t="s">
        <v>175</v>
      </c>
      <c r="F137" t="s">
        <v>176</v>
      </c>
      <c r="G137">
        <v>0.5</v>
      </c>
      <c r="H137">
        <v>5</v>
      </c>
      <c r="I137" t="s">
        <v>177</v>
      </c>
      <c r="J137" t="s">
        <v>178</v>
      </c>
      <c r="K137" t="s">
        <v>179</v>
      </c>
      <c r="L137" t="s">
        <v>180</v>
      </c>
      <c r="M137">
        <v>131</v>
      </c>
      <c r="N137">
        <v>4.5801526717557252E-2</v>
      </c>
      <c r="O137">
        <v>0.54545454545454541</v>
      </c>
      <c r="P137">
        <v>8.4507042253521139E-2</v>
      </c>
      <c r="Q137">
        <v>1.27</v>
      </c>
      <c r="R137">
        <v>71</v>
      </c>
      <c r="S137">
        <v>71</v>
      </c>
      <c r="T137">
        <v>11528</v>
      </c>
      <c r="U137">
        <v>156</v>
      </c>
      <c r="V137">
        <v>11684</v>
      </c>
      <c r="W137">
        <v>10</v>
      </c>
      <c r="X137">
        <v>11528</v>
      </c>
      <c r="Y137">
        <v>156</v>
      </c>
      <c r="Z137">
        <v>11684</v>
      </c>
      <c r="AA137">
        <v>1421</v>
      </c>
      <c r="AB137">
        <v>1421</v>
      </c>
      <c r="AC137">
        <v>0</v>
      </c>
      <c r="AD137">
        <v>0</v>
      </c>
      <c r="AE137">
        <v>4.0000000000000001E-3</v>
      </c>
      <c r="AF137">
        <v>1.25</v>
      </c>
      <c r="AG137">
        <v>0.01</v>
      </c>
      <c r="AH137">
        <v>3.0000000000000001E-3</v>
      </c>
      <c r="AI137">
        <v>7.1999999999999995E-2</v>
      </c>
      <c r="AJ137">
        <v>1.6E-2</v>
      </c>
      <c r="AK137">
        <v>2.5000000000000001E-2</v>
      </c>
      <c r="AL137">
        <v>0</v>
      </c>
      <c r="AM137">
        <v>5.6000000000000001E-2</v>
      </c>
      <c r="AN137">
        <v>0.86899999999999999</v>
      </c>
      <c r="AO137">
        <v>1.7999999999999999E-2</v>
      </c>
      <c r="AP137">
        <v>3.0000000000000001E-3</v>
      </c>
      <c r="AQ137">
        <v>0</v>
      </c>
      <c r="AR137">
        <v>0</v>
      </c>
      <c r="AS137">
        <v>0</v>
      </c>
      <c r="AT137" t="s">
        <v>243</v>
      </c>
      <c r="AU137" t="s">
        <v>243</v>
      </c>
      <c r="AV137" t="s">
        <v>549</v>
      </c>
    </row>
    <row r="138" spans="1:102" x14ac:dyDescent="0.2">
      <c r="A138" t="s">
        <v>48</v>
      </c>
      <c r="B138" t="s">
        <v>674</v>
      </c>
      <c r="C138" t="s">
        <v>265</v>
      </c>
      <c r="D138" t="s">
        <v>174</v>
      </c>
      <c r="E138" t="s">
        <v>175</v>
      </c>
      <c r="F138" t="s">
        <v>176</v>
      </c>
      <c r="G138">
        <v>0.5</v>
      </c>
      <c r="H138">
        <v>10</v>
      </c>
      <c r="I138" t="s">
        <v>177</v>
      </c>
      <c r="J138" t="s">
        <v>178</v>
      </c>
      <c r="K138" t="s">
        <v>179</v>
      </c>
      <c r="L138" t="s">
        <v>180</v>
      </c>
      <c r="M138">
        <v>97</v>
      </c>
      <c r="N138">
        <v>7.2164948453608241E-2</v>
      </c>
      <c r="O138">
        <v>0.63636363636363635</v>
      </c>
      <c r="P138">
        <v>0.12962962962962959</v>
      </c>
      <c r="Q138">
        <v>1.61</v>
      </c>
      <c r="R138">
        <v>142</v>
      </c>
      <c r="S138">
        <v>142</v>
      </c>
      <c r="T138">
        <v>22856</v>
      </c>
      <c r="U138">
        <v>298</v>
      </c>
      <c r="V138">
        <v>23154</v>
      </c>
      <c r="W138">
        <v>10</v>
      </c>
      <c r="X138">
        <v>22856</v>
      </c>
      <c r="Y138">
        <v>298</v>
      </c>
      <c r="Z138">
        <v>23154</v>
      </c>
      <c r="AA138">
        <v>1421</v>
      </c>
      <c r="AB138">
        <v>1421</v>
      </c>
      <c r="AC138">
        <v>0</v>
      </c>
      <c r="AD138">
        <v>0</v>
      </c>
      <c r="AE138">
        <v>4.0000000000000001E-3</v>
      </c>
      <c r="AF138">
        <v>1.5880000000000001</v>
      </c>
      <c r="AG138">
        <v>1.0999999999999999E-2</v>
      </c>
      <c r="AH138">
        <v>3.0000000000000001E-3</v>
      </c>
      <c r="AI138">
        <v>7.1999999999999995E-2</v>
      </c>
      <c r="AJ138">
        <v>1E-3</v>
      </c>
      <c r="AK138">
        <v>2.3E-2</v>
      </c>
      <c r="AL138">
        <v>0</v>
      </c>
      <c r="AM138">
        <v>0.18099999999999999</v>
      </c>
      <c r="AN138">
        <v>1.175</v>
      </c>
      <c r="AO138">
        <v>1.7000000000000001E-2</v>
      </c>
      <c r="AP138">
        <v>3.0000000000000001E-3</v>
      </c>
      <c r="AQ138">
        <v>0</v>
      </c>
      <c r="AR138">
        <v>0</v>
      </c>
      <c r="AS138">
        <v>0</v>
      </c>
      <c r="AT138" t="s">
        <v>243</v>
      </c>
      <c r="AU138" t="s">
        <v>243</v>
      </c>
      <c r="AV138" t="s">
        <v>549</v>
      </c>
    </row>
    <row r="139" spans="1:102" x14ac:dyDescent="0.2">
      <c r="A139" t="s">
        <v>48</v>
      </c>
      <c r="B139" t="s">
        <v>675</v>
      </c>
      <c r="C139" t="s">
        <v>265</v>
      </c>
      <c r="D139" t="s">
        <v>174</v>
      </c>
      <c r="E139" t="s">
        <v>175</v>
      </c>
      <c r="F139" t="s">
        <v>176</v>
      </c>
      <c r="G139">
        <v>0.5</v>
      </c>
      <c r="H139">
        <v>15</v>
      </c>
      <c r="I139" t="s">
        <v>177</v>
      </c>
      <c r="J139" t="s">
        <v>178</v>
      </c>
      <c r="K139" t="s">
        <v>179</v>
      </c>
      <c r="L139" t="s">
        <v>180</v>
      </c>
      <c r="M139">
        <v>87</v>
      </c>
      <c r="N139">
        <v>6.8965517241379309E-2</v>
      </c>
      <c r="O139">
        <v>0.54545454545454541</v>
      </c>
      <c r="P139">
        <v>0.1224489795918367</v>
      </c>
      <c r="Q139">
        <v>1.92</v>
      </c>
      <c r="R139">
        <v>213</v>
      </c>
      <c r="S139">
        <v>213</v>
      </c>
      <c r="T139">
        <v>34527</v>
      </c>
      <c r="U139">
        <v>440</v>
      </c>
      <c r="V139">
        <v>34967</v>
      </c>
      <c r="W139">
        <v>10</v>
      </c>
      <c r="X139">
        <v>34527</v>
      </c>
      <c r="Y139">
        <v>440</v>
      </c>
      <c r="Z139">
        <v>34967</v>
      </c>
      <c r="AA139">
        <v>1421</v>
      </c>
      <c r="AB139">
        <v>1421</v>
      </c>
      <c r="AC139">
        <v>0</v>
      </c>
      <c r="AD139">
        <v>0</v>
      </c>
      <c r="AE139">
        <v>4.0000000000000001E-3</v>
      </c>
      <c r="AF139">
        <v>1.901</v>
      </c>
      <c r="AG139">
        <v>1.0999999999999999E-2</v>
      </c>
      <c r="AH139">
        <v>5.0000000000000001E-3</v>
      </c>
      <c r="AI139">
        <v>6.2E-2</v>
      </c>
      <c r="AJ139">
        <v>1.4E-2</v>
      </c>
      <c r="AK139">
        <v>2.5999999999999999E-2</v>
      </c>
      <c r="AL139">
        <v>0</v>
      </c>
      <c r="AM139">
        <v>0.14899999999999999</v>
      </c>
      <c r="AN139">
        <v>1.3129999999999999</v>
      </c>
      <c r="AO139">
        <v>2.4E-2</v>
      </c>
      <c r="AP139">
        <v>5.0000000000000001E-3</v>
      </c>
      <c r="AQ139">
        <v>0</v>
      </c>
      <c r="AR139">
        <v>0</v>
      </c>
      <c r="AS139">
        <v>0</v>
      </c>
      <c r="AT139" t="s">
        <v>243</v>
      </c>
      <c r="AU139" t="s">
        <v>243</v>
      </c>
      <c r="AV139" t="s">
        <v>549</v>
      </c>
    </row>
    <row r="140" spans="1:102" x14ac:dyDescent="0.2">
      <c r="A140" t="s">
        <v>48</v>
      </c>
      <c r="B140" t="s">
        <v>676</v>
      </c>
      <c r="C140" t="s">
        <v>265</v>
      </c>
      <c r="D140" t="s">
        <v>174</v>
      </c>
      <c r="E140" t="s">
        <v>175</v>
      </c>
      <c r="F140" t="s">
        <v>176</v>
      </c>
      <c r="G140">
        <v>0.5</v>
      </c>
      <c r="H140">
        <v>20</v>
      </c>
      <c r="I140" t="s">
        <v>177</v>
      </c>
      <c r="J140" t="s">
        <v>178</v>
      </c>
      <c r="K140" t="s">
        <v>179</v>
      </c>
      <c r="L140" t="s">
        <v>180</v>
      </c>
      <c r="M140">
        <v>106</v>
      </c>
      <c r="N140">
        <v>6.6037735849056603E-2</v>
      </c>
      <c r="O140">
        <v>0.63636363636363635</v>
      </c>
      <c r="P140">
        <v>0.11965811965811959</v>
      </c>
      <c r="Q140">
        <v>1.98</v>
      </c>
      <c r="R140">
        <v>284</v>
      </c>
      <c r="S140">
        <v>284</v>
      </c>
      <c r="T140">
        <v>46636</v>
      </c>
      <c r="U140">
        <v>582</v>
      </c>
      <c r="V140">
        <v>47218</v>
      </c>
      <c r="W140">
        <v>10</v>
      </c>
      <c r="X140">
        <v>46636</v>
      </c>
      <c r="Y140">
        <v>582</v>
      </c>
      <c r="Z140">
        <v>47218</v>
      </c>
      <c r="AA140">
        <v>1421</v>
      </c>
      <c r="AB140">
        <v>1421</v>
      </c>
      <c r="AC140">
        <v>0</v>
      </c>
      <c r="AD140">
        <v>0</v>
      </c>
      <c r="AE140">
        <v>4.0000000000000001E-3</v>
      </c>
      <c r="AF140">
        <v>1.9630000000000001</v>
      </c>
      <c r="AG140">
        <v>1.2E-2</v>
      </c>
      <c r="AH140">
        <v>5.0000000000000001E-3</v>
      </c>
      <c r="AI140">
        <v>5.7000000000000002E-2</v>
      </c>
      <c r="AJ140">
        <v>5.0000000000000001E-3</v>
      </c>
      <c r="AK140">
        <v>2.5999999999999999E-2</v>
      </c>
      <c r="AL140">
        <v>0</v>
      </c>
      <c r="AM140">
        <v>0.20399999999999999</v>
      </c>
      <c r="AN140">
        <v>1.44</v>
      </c>
      <c r="AO140">
        <v>3.9E-2</v>
      </c>
      <c r="AP140">
        <v>5.0000000000000001E-3</v>
      </c>
      <c r="AQ140">
        <v>0</v>
      </c>
      <c r="AR140">
        <v>0</v>
      </c>
      <c r="AS140">
        <v>0</v>
      </c>
      <c r="AT140" t="s">
        <v>243</v>
      </c>
      <c r="AU140" t="s">
        <v>243</v>
      </c>
      <c r="AV140" t="s">
        <v>549</v>
      </c>
    </row>
    <row r="141" spans="1:102" x14ac:dyDescent="0.2">
      <c r="A141" t="s">
        <v>48</v>
      </c>
      <c r="B141" t="s">
        <v>677</v>
      </c>
      <c r="C141" t="s">
        <v>265</v>
      </c>
      <c r="D141" t="s">
        <v>174</v>
      </c>
      <c r="E141" t="s">
        <v>175</v>
      </c>
      <c r="F141" t="s">
        <v>176</v>
      </c>
      <c r="G141">
        <v>0.5</v>
      </c>
      <c r="H141">
        <v>25</v>
      </c>
      <c r="I141" t="s">
        <v>177</v>
      </c>
      <c r="J141" t="s">
        <v>178</v>
      </c>
      <c r="K141" t="s">
        <v>179</v>
      </c>
      <c r="L141" t="s">
        <v>180</v>
      </c>
      <c r="M141">
        <v>106</v>
      </c>
      <c r="N141">
        <v>6.6037735849056603E-2</v>
      </c>
      <c r="O141">
        <v>0.63636363636363635</v>
      </c>
      <c r="P141">
        <v>0.11965811965811959</v>
      </c>
      <c r="Q141">
        <v>1.98</v>
      </c>
      <c r="R141">
        <v>355</v>
      </c>
      <c r="S141">
        <v>355</v>
      </c>
      <c r="T141">
        <v>58087</v>
      </c>
      <c r="U141">
        <v>724</v>
      </c>
      <c r="V141">
        <v>58811</v>
      </c>
      <c r="W141">
        <v>20</v>
      </c>
      <c r="X141">
        <v>58087</v>
      </c>
      <c r="Y141">
        <v>724</v>
      </c>
      <c r="Z141">
        <v>58811</v>
      </c>
      <c r="AA141">
        <v>1421</v>
      </c>
      <c r="AB141">
        <v>1421</v>
      </c>
      <c r="AC141">
        <v>0</v>
      </c>
      <c r="AD141">
        <v>0</v>
      </c>
      <c r="AE141">
        <v>4.0000000000000001E-3</v>
      </c>
      <c r="AF141">
        <v>1.9570000000000001</v>
      </c>
      <c r="AG141">
        <v>1.4999999999999999E-2</v>
      </c>
      <c r="AH141">
        <v>8.0000000000000002E-3</v>
      </c>
      <c r="AI141">
        <v>6.3E-2</v>
      </c>
      <c r="AJ141">
        <v>1.6E-2</v>
      </c>
      <c r="AK141">
        <v>2.5000000000000001E-2</v>
      </c>
      <c r="AL141">
        <v>0</v>
      </c>
      <c r="AM141">
        <v>0.16800000000000001</v>
      </c>
      <c r="AN141">
        <v>1.458</v>
      </c>
      <c r="AO141">
        <v>3.6999999999999998E-2</v>
      </c>
      <c r="AP141">
        <v>8.0000000000000002E-3</v>
      </c>
      <c r="AQ141">
        <v>0</v>
      </c>
      <c r="AR141">
        <v>0</v>
      </c>
      <c r="AS141">
        <v>0</v>
      </c>
      <c r="AT141" t="s">
        <v>243</v>
      </c>
      <c r="AU141" t="s">
        <v>243</v>
      </c>
      <c r="AV141" t="s">
        <v>549</v>
      </c>
    </row>
    <row r="143" spans="1:102" x14ac:dyDescent="0.2">
      <c r="A143" t="s">
        <v>678</v>
      </c>
    </row>
    <row r="144" spans="1:102" x14ac:dyDescent="0.2">
      <c r="A144" t="s">
        <v>0</v>
      </c>
      <c r="B144" t="s">
        <v>71</v>
      </c>
      <c r="C144" t="s">
        <v>72</v>
      </c>
      <c r="D144" t="s">
        <v>73</v>
      </c>
      <c r="E144" t="s">
        <v>74</v>
      </c>
      <c r="F144" t="s">
        <v>75</v>
      </c>
      <c r="G144" t="s">
        <v>76</v>
      </c>
      <c r="H144" t="s">
        <v>77</v>
      </c>
      <c r="I144" t="s">
        <v>78</v>
      </c>
      <c r="J144" t="s">
        <v>79</v>
      </c>
      <c r="K144" t="s">
        <v>80</v>
      </c>
      <c r="L144" t="s">
        <v>81</v>
      </c>
      <c r="M144" t="s">
        <v>82</v>
      </c>
      <c r="N144" t="s">
        <v>83</v>
      </c>
      <c r="O144" t="s">
        <v>84</v>
      </c>
      <c r="P144" t="s">
        <v>85</v>
      </c>
      <c r="Q144" t="s">
        <v>86</v>
      </c>
      <c r="R144" t="s">
        <v>87</v>
      </c>
      <c r="S144" t="s">
        <v>88</v>
      </c>
      <c r="T144" t="s">
        <v>89</v>
      </c>
      <c r="U144" t="s">
        <v>90</v>
      </c>
      <c r="V144" t="s">
        <v>91</v>
      </c>
      <c r="W144" t="s">
        <v>92</v>
      </c>
      <c r="X144" t="s">
        <v>93</v>
      </c>
      <c r="Y144" t="s">
        <v>94</v>
      </c>
      <c r="Z144" t="s">
        <v>95</v>
      </c>
      <c r="AA144" t="s">
        <v>96</v>
      </c>
      <c r="AB144" t="s">
        <v>97</v>
      </c>
      <c r="AC144" t="s">
        <v>98</v>
      </c>
      <c r="AD144" t="s">
        <v>99</v>
      </c>
      <c r="AE144" t="s">
        <v>100</v>
      </c>
      <c r="AF144" t="s">
        <v>101</v>
      </c>
      <c r="AG144" t="s">
        <v>102</v>
      </c>
      <c r="AH144" t="s">
        <v>103</v>
      </c>
      <c r="AI144" t="s">
        <v>104</v>
      </c>
      <c r="AJ144" t="s">
        <v>105</v>
      </c>
      <c r="AK144" t="s">
        <v>106</v>
      </c>
      <c r="AL144" t="s">
        <v>107</v>
      </c>
      <c r="AM144" t="s">
        <v>108</v>
      </c>
      <c r="AN144" t="s">
        <v>109</v>
      </c>
      <c r="AO144" t="s">
        <v>110</v>
      </c>
      <c r="AP144" t="s">
        <v>111</v>
      </c>
      <c r="AQ144" t="s">
        <v>112</v>
      </c>
      <c r="AR144" t="s">
        <v>113</v>
      </c>
      <c r="AS144" t="s">
        <v>114</v>
      </c>
      <c r="AT144" t="s">
        <v>115</v>
      </c>
      <c r="AU144" t="s">
        <v>116</v>
      </c>
      <c r="AV144" t="s">
        <v>117</v>
      </c>
      <c r="AW144" t="s">
        <v>118</v>
      </c>
      <c r="AX144" t="s">
        <v>119</v>
      </c>
      <c r="AY144" t="s">
        <v>120</v>
      </c>
      <c r="AZ144" t="s">
        <v>121</v>
      </c>
      <c r="BA144" t="s">
        <v>122</v>
      </c>
      <c r="BB144" t="s">
        <v>123</v>
      </c>
      <c r="BC144" t="s">
        <v>124</v>
      </c>
      <c r="BD144" t="s">
        <v>125</v>
      </c>
      <c r="BE144" t="s">
        <v>126</v>
      </c>
      <c r="BF144" t="s">
        <v>127</v>
      </c>
      <c r="BG144" t="s">
        <v>128</v>
      </c>
      <c r="BH144" t="s">
        <v>129</v>
      </c>
      <c r="BI144" t="s">
        <v>130</v>
      </c>
      <c r="BJ144" t="s">
        <v>131</v>
      </c>
      <c r="BK144" t="s">
        <v>132</v>
      </c>
      <c r="BL144" t="s">
        <v>133</v>
      </c>
      <c r="BM144" t="s">
        <v>134</v>
      </c>
      <c r="BN144" t="s">
        <v>135</v>
      </c>
      <c r="BO144" t="s">
        <v>136</v>
      </c>
      <c r="BP144" t="s">
        <v>137</v>
      </c>
      <c r="BQ144" t="s">
        <v>138</v>
      </c>
      <c r="BR144" t="s">
        <v>139</v>
      </c>
      <c r="BS144" t="s">
        <v>140</v>
      </c>
      <c r="BT144" t="s">
        <v>141</v>
      </c>
      <c r="BU144" t="s">
        <v>142</v>
      </c>
      <c r="BV144" t="s">
        <v>143</v>
      </c>
      <c r="BW144" t="s">
        <v>144</v>
      </c>
      <c r="BX144" t="s">
        <v>145</v>
      </c>
      <c r="BY144" t="s">
        <v>146</v>
      </c>
      <c r="BZ144" t="s">
        <v>147</v>
      </c>
      <c r="CA144" t="s">
        <v>148</v>
      </c>
      <c r="CB144" t="s">
        <v>149</v>
      </c>
      <c r="CC144" t="s">
        <v>150</v>
      </c>
      <c r="CD144" t="s">
        <v>151</v>
      </c>
      <c r="CE144" t="s">
        <v>152</v>
      </c>
      <c r="CF144" t="s">
        <v>153</v>
      </c>
      <c r="CG144" t="s">
        <v>154</v>
      </c>
      <c r="CH144" t="s">
        <v>155</v>
      </c>
      <c r="CI144" t="s">
        <v>156</v>
      </c>
      <c r="CJ144" t="s">
        <v>157</v>
      </c>
      <c r="CK144" t="s">
        <v>158</v>
      </c>
      <c r="CL144" t="s">
        <v>159</v>
      </c>
      <c r="CM144" t="s">
        <v>160</v>
      </c>
      <c r="CN144" t="s">
        <v>161</v>
      </c>
      <c r="CO144" t="s">
        <v>162</v>
      </c>
      <c r="CP144" t="s">
        <v>163</v>
      </c>
      <c r="CQ144" t="s">
        <v>164</v>
      </c>
      <c r="CR144" t="s">
        <v>165</v>
      </c>
      <c r="CS144" t="s">
        <v>166</v>
      </c>
      <c r="CT144" t="s">
        <v>167</v>
      </c>
      <c r="CU144" t="s">
        <v>168</v>
      </c>
      <c r="CV144" t="s">
        <v>169</v>
      </c>
      <c r="CW144" t="s">
        <v>170</v>
      </c>
      <c r="CX144" t="s">
        <v>171</v>
      </c>
    </row>
    <row r="145" spans="1:48" x14ac:dyDescent="0.2">
      <c r="A145" t="s">
        <v>33</v>
      </c>
      <c r="B145" t="s">
        <v>679</v>
      </c>
      <c r="C145" t="s">
        <v>548</v>
      </c>
      <c r="D145" t="s">
        <v>174</v>
      </c>
      <c r="E145" t="s">
        <v>175</v>
      </c>
      <c r="F145" t="s">
        <v>176</v>
      </c>
      <c r="G145">
        <v>0.5</v>
      </c>
      <c r="H145">
        <v>0.25</v>
      </c>
      <c r="I145" t="s">
        <v>177</v>
      </c>
      <c r="J145" t="s">
        <v>178</v>
      </c>
      <c r="K145" t="s">
        <v>179</v>
      </c>
      <c r="L145" t="s">
        <v>180</v>
      </c>
      <c r="M145">
        <v>806</v>
      </c>
      <c r="N145">
        <v>6.2034739454094297E-3</v>
      </c>
      <c r="O145">
        <v>1</v>
      </c>
      <c r="P145">
        <v>1.23304562268804E-2</v>
      </c>
      <c r="Q145">
        <v>2.1</v>
      </c>
      <c r="R145">
        <v>26</v>
      </c>
      <c r="S145">
        <v>26</v>
      </c>
      <c r="T145">
        <v>8359</v>
      </c>
      <c r="U145">
        <v>52</v>
      </c>
      <c r="V145">
        <v>8411</v>
      </c>
      <c r="W145">
        <v>26</v>
      </c>
      <c r="X145">
        <v>8359</v>
      </c>
      <c r="Y145">
        <v>52</v>
      </c>
      <c r="Z145">
        <v>8411</v>
      </c>
      <c r="AA145">
        <v>10400</v>
      </c>
      <c r="AB145">
        <v>10400</v>
      </c>
      <c r="AC145">
        <v>0</v>
      </c>
      <c r="AD145">
        <v>0</v>
      </c>
      <c r="AE145">
        <v>4.8000000000000001E-2</v>
      </c>
      <c r="AF145">
        <v>2.0179999999999998</v>
      </c>
      <c r="AG145">
        <v>6.0000000000000001E-3</v>
      </c>
      <c r="AH145">
        <v>2.8000000000000001E-2</v>
      </c>
      <c r="AI145">
        <v>0.68200000000000005</v>
      </c>
      <c r="AJ145">
        <v>6.0000000000000001E-3</v>
      </c>
      <c r="AK145">
        <v>9.1999999999999998E-2</v>
      </c>
      <c r="AL145">
        <v>0</v>
      </c>
      <c r="AM145">
        <v>1E-3</v>
      </c>
      <c r="AN145">
        <v>0.54800000000000004</v>
      </c>
      <c r="AO145">
        <v>0.115</v>
      </c>
      <c r="AP145">
        <v>2.8000000000000001E-2</v>
      </c>
      <c r="AQ145">
        <v>0</v>
      </c>
      <c r="AR145">
        <v>0</v>
      </c>
      <c r="AS145">
        <v>0</v>
      </c>
      <c r="AT145" t="s">
        <v>243</v>
      </c>
      <c r="AU145" t="s">
        <v>243</v>
      </c>
      <c r="AV145" t="s">
        <v>549</v>
      </c>
    </row>
    <row r="146" spans="1:48" x14ac:dyDescent="0.2">
      <c r="A146" t="s">
        <v>33</v>
      </c>
      <c r="B146" t="s">
        <v>680</v>
      </c>
      <c r="C146" t="s">
        <v>548</v>
      </c>
      <c r="D146" t="s">
        <v>174</v>
      </c>
      <c r="E146" t="s">
        <v>175</v>
      </c>
      <c r="F146" t="s">
        <v>176</v>
      </c>
      <c r="G146">
        <v>0.5</v>
      </c>
      <c r="H146">
        <v>0.5</v>
      </c>
      <c r="I146" t="s">
        <v>177</v>
      </c>
      <c r="J146" t="s">
        <v>178</v>
      </c>
      <c r="K146" t="s">
        <v>179</v>
      </c>
      <c r="L146" t="s">
        <v>180</v>
      </c>
      <c r="M146">
        <v>2146</v>
      </c>
      <c r="N146">
        <v>2.3299161230195711E-3</v>
      </c>
      <c r="O146">
        <v>1</v>
      </c>
      <c r="P146">
        <v>4.6490004649000468E-3</v>
      </c>
      <c r="Q146">
        <v>1.65</v>
      </c>
      <c r="R146">
        <v>52</v>
      </c>
      <c r="S146">
        <v>52</v>
      </c>
      <c r="T146">
        <v>30474</v>
      </c>
      <c r="U146">
        <v>104</v>
      </c>
      <c r="V146">
        <v>30578</v>
      </c>
      <c r="W146">
        <v>52</v>
      </c>
      <c r="X146">
        <v>30474</v>
      </c>
      <c r="Y146">
        <v>104</v>
      </c>
      <c r="Z146">
        <v>30578</v>
      </c>
      <c r="AA146">
        <v>10400</v>
      </c>
      <c r="AB146">
        <v>10400</v>
      </c>
      <c r="AC146">
        <v>0</v>
      </c>
      <c r="AD146">
        <v>0</v>
      </c>
      <c r="AE146">
        <v>4.7E-2</v>
      </c>
      <c r="AF146">
        <v>1.538</v>
      </c>
      <c r="AG146">
        <v>3.5000000000000003E-2</v>
      </c>
      <c r="AH146">
        <v>3.2000000000000001E-2</v>
      </c>
      <c r="AI146">
        <v>0.21299999999999999</v>
      </c>
      <c r="AJ146">
        <v>0.01</v>
      </c>
      <c r="AK146">
        <v>9.4E-2</v>
      </c>
      <c r="AL146">
        <v>0</v>
      </c>
      <c r="AM146">
        <v>2E-3</v>
      </c>
      <c r="AN146">
        <v>0.89900000000000002</v>
      </c>
      <c r="AO146">
        <v>5.0999999999999997E-2</v>
      </c>
      <c r="AP146">
        <v>3.2000000000000001E-2</v>
      </c>
      <c r="AQ146">
        <v>0</v>
      </c>
      <c r="AR146">
        <v>0</v>
      </c>
      <c r="AS146">
        <v>0</v>
      </c>
      <c r="AT146" t="s">
        <v>243</v>
      </c>
      <c r="AU146" t="s">
        <v>243</v>
      </c>
      <c r="AV146" t="s">
        <v>549</v>
      </c>
    </row>
    <row r="147" spans="1:48" x14ac:dyDescent="0.2">
      <c r="A147" t="s">
        <v>33</v>
      </c>
      <c r="B147" t="s">
        <v>681</v>
      </c>
      <c r="C147" t="s">
        <v>548</v>
      </c>
      <c r="D147" t="s">
        <v>174</v>
      </c>
      <c r="E147" t="s">
        <v>175</v>
      </c>
      <c r="F147" t="s">
        <v>176</v>
      </c>
      <c r="G147">
        <v>0.5</v>
      </c>
      <c r="H147">
        <v>0.75</v>
      </c>
      <c r="I147" t="s">
        <v>177</v>
      </c>
      <c r="J147" t="s">
        <v>178</v>
      </c>
      <c r="K147" t="s">
        <v>179</v>
      </c>
      <c r="L147" t="s">
        <v>180</v>
      </c>
      <c r="M147">
        <v>2084</v>
      </c>
      <c r="N147">
        <v>2.3992322456813822E-3</v>
      </c>
      <c r="O147">
        <v>1</v>
      </c>
      <c r="P147">
        <v>4.7869794159885112E-3</v>
      </c>
      <c r="Q147">
        <v>1.54</v>
      </c>
      <c r="R147">
        <v>78</v>
      </c>
      <c r="S147">
        <v>78</v>
      </c>
      <c r="T147">
        <v>40042</v>
      </c>
      <c r="U147">
        <v>156</v>
      </c>
      <c r="V147">
        <v>40198</v>
      </c>
      <c r="W147">
        <v>78</v>
      </c>
      <c r="X147">
        <v>40042</v>
      </c>
      <c r="Y147">
        <v>156</v>
      </c>
      <c r="Z147">
        <v>40198</v>
      </c>
      <c r="AA147">
        <v>10400</v>
      </c>
      <c r="AB147">
        <v>10400</v>
      </c>
      <c r="AC147">
        <v>0</v>
      </c>
      <c r="AD147">
        <v>0</v>
      </c>
      <c r="AE147">
        <v>0.214</v>
      </c>
      <c r="AF147">
        <v>1.2929999999999999</v>
      </c>
      <c r="AG147">
        <v>6.0000000000000001E-3</v>
      </c>
      <c r="AH147">
        <v>2.9000000000000001E-2</v>
      </c>
      <c r="AI147">
        <v>0.158</v>
      </c>
      <c r="AJ147">
        <v>4.0000000000000001E-3</v>
      </c>
      <c r="AK147">
        <v>5.0999999999999997E-2</v>
      </c>
      <c r="AL147">
        <v>0</v>
      </c>
      <c r="AM147">
        <v>1E-3</v>
      </c>
      <c r="AN147">
        <v>0.75700000000000001</v>
      </c>
      <c r="AO147">
        <v>4.3999999999999997E-2</v>
      </c>
      <c r="AP147">
        <v>2.9000000000000001E-2</v>
      </c>
      <c r="AQ147">
        <v>0</v>
      </c>
      <c r="AR147">
        <v>0</v>
      </c>
      <c r="AS147">
        <v>0</v>
      </c>
      <c r="AT147" t="s">
        <v>243</v>
      </c>
      <c r="AU147" t="s">
        <v>243</v>
      </c>
      <c r="AV147" t="s">
        <v>549</v>
      </c>
    </row>
    <row r="148" spans="1:48" x14ac:dyDescent="0.2">
      <c r="A148" t="s">
        <v>33</v>
      </c>
      <c r="B148" t="s">
        <v>682</v>
      </c>
      <c r="C148" t="s">
        <v>548</v>
      </c>
      <c r="D148" t="s">
        <v>174</v>
      </c>
      <c r="E148" t="s">
        <v>175</v>
      </c>
      <c r="F148" t="s">
        <v>176</v>
      </c>
      <c r="G148">
        <v>0.5</v>
      </c>
      <c r="H148">
        <v>1</v>
      </c>
      <c r="I148" t="s">
        <v>177</v>
      </c>
      <c r="J148" t="s">
        <v>178</v>
      </c>
      <c r="K148" t="s">
        <v>179</v>
      </c>
      <c r="L148" t="s">
        <v>180</v>
      </c>
      <c r="M148">
        <v>1198</v>
      </c>
      <c r="N148">
        <v>4.1736227045075123E-3</v>
      </c>
      <c r="O148">
        <v>1</v>
      </c>
      <c r="P148">
        <v>8.3125519534497094E-3</v>
      </c>
      <c r="Q148">
        <v>1.88</v>
      </c>
      <c r="R148">
        <v>104</v>
      </c>
      <c r="S148">
        <v>104</v>
      </c>
      <c r="T148">
        <v>50933</v>
      </c>
      <c r="U148">
        <v>208</v>
      </c>
      <c r="V148">
        <v>51141</v>
      </c>
      <c r="W148">
        <v>104</v>
      </c>
      <c r="X148">
        <v>50933</v>
      </c>
      <c r="Y148">
        <v>208</v>
      </c>
      <c r="Z148">
        <v>51141</v>
      </c>
      <c r="AA148">
        <v>10400</v>
      </c>
      <c r="AB148">
        <v>10400</v>
      </c>
      <c r="AC148">
        <v>0</v>
      </c>
      <c r="AD148">
        <v>0</v>
      </c>
      <c r="AE148">
        <v>3.6999999999999998E-2</v>
      </c>
      <c r="AF148">
        <v>1.7829999999999999</v>
      </c>
      <c r="AG148">
        <v>6.0000000000000001E-3</v>
      </c>
      <c r="AH148">
        <v>0.05</v>
      </c>
      <c r="AI148">
        <v>0.17</v>
      </c>
      <c r="AJ148">
        <v>8.9999999999999993E-3</v>
      </c>
      <c r="AK148">
        <v>8.8999999999999996E-2</v>
      </c>
      <c r="AL148">
        <v>0</v>
      </c>
      <c r="AM148">
        <v>2E-3</v>
      </c>
      <c r="AN148">
        <v>1.1859999999999999</v>
      </c>
      <c r="AO148">
        <v>6.3E-2</v>
      </c>
      <c r="AP148">
        <v>0.05</v>
      </c>
      <c r="AQ148">
        <v>0</v>
      </c>
      <c r="AR148">
        <v>0</v>
      </c>
      <c r="AS148">
        <v>0</v>
      </c>
      <c r="AT148" t="s">
        <v>243</v>
      </c>
      <c r="AU148" t="s">
        <v>243</v>
      </c>
      <c r="AV148" t="s">
        <v>549</v>
      </c>
    </row>
    <row r="149" spans="1:48" x14ac:dyDescent="0.2">
      <c r="A149" t="s">
        <v>33</v>
      </c>
      <c r="B149" t="s">
        <v>683</v>
      </c>
      <c r="C149" t="s">
        <v>548</v>
      </c>
      <c r="D149" t="s">
        <v>174</v>
      </c>
      <c r="E149" t="s">
        <v>175</v>
      </c>
      <c r="F149" t="s">
        <v>176</v>
      </c>
      <c r="G149">
        <v>0.5</v>
      </c>
      <c r="H149">
        <v>1.25</v>
      </c>
      <c r="I149" t="s">
        <v>177</v>
      </c>
      <c r="J149" t="s">
        <v>178</v>
      </c>
      <c r="K149" t="s">
        <v>179</v>
      </c>
      <c r="L149" t="s">
        <v>180</v>
      </c>
      <c r="M149">
        <v>931</v>
      </c>
      <c r="N149">
        <v>5.3705692803437174E-3</v>
      </c>
      <c r="O149">
        <v>1</v>
      </c>
      <c r="P149">
        <v>1.0683760683760689E-2</v>
      </c>
      <c r="Q149">
        <v>1.78</v>
      </c>
      <c r="R149">
        <v>130</v>
      </c>
      <c r="S149">
        <v>130</v>
      </c>
      <c r="T149">
        <v>60944</v>
      </c>
      <c r="U149">
        <v>260</v>
      </c>
      <c r="V149">
        <v>61204</v>
      </c>
      <c r="W149">
        <v>130</v>
      </c>
      <c r="X149">
        <v>60944</v>
      </c>
      <c r="Y149">
        <v>260</v>
      </c>
      <c r="Z149">
        <v>61204</v>
      </c>
      <c r="AA149">
        <v>10400</v>
      </c>
      <c r="AB149">
        <v>10400</v>
      </c>
      <c r="AC149">
        <v>0</v>
      </c>
      <c r="AD149">
        <v>0</v>
      </c>
      <c r="AE149">
        <v>3.7999999999999999E-2</v>
      </c>
      <c r="AF149">
        <v>1.5660000000000001</v>
      </c>
      <c r="AG149">
        <v>5.7000000000000002E-2</v>
      </c>
      <c r="AH149">
        <v>0.11600000000000001</v>
      </c>
      <c r="AI149">
        <v>0.156</v>
      </c>
      <c r="AJ149">
        <v>8.9999999999999993E-3</v>
      </c>
      <c r="AK149">
        <v>8.8999999999999996E-2</v>
      </c>
      <c r="AL149">
        <v>0</v>
      </c>
      <c r="AM149">
        <v>2E-3</v>
      </c>
      <c r="AN149">
        <v>1.0329999999999999</v>
      </c>
      <c r="AO149">
        <v>4.5999999999999999E-2</v>
      </c>
      <c r="AP149">
        <v>0.11600000000000001</v>
      </c>
      <c r="AQ149">
        <v>0</v>
      </c>
      <c r="AR149">
        <v>0</v>
      </c>
      <c r="AS149">
        <v>0</v>
      </c>
      <c r="AT149" t="s">
        <v>243</v>
      </c>
      <c r="AU149" t="s">
        <v>243</v>
      </c>
      <c r="AV149" t="s">
        <v>549</v>
      </c>
    </row>
    <row r="150" spans="1:48" x14ac:dyDescent="0.2">
      <c r="A150" t="s">
        <v>33</v>
      </c>
      <c r="B150" t="s">
        <v>684</v>
      </c>
      <c r="C150" t="s">
        <v>265</v>
      </c>
      <c r="D150" t="s">
        <v>174</v>
      </c>
      <c r="E150" t="s">
        <v>175</v>
      </c>
      <c r="F150" t="s">
        <v>176</v>
      </c>
      <c r="G150">
        <v>0.5</v>
      </c>
      <c r="H150">
        <v>0.25</v>
      </c>
      <c r="I150" t="s">
        <v>177</v>
      </c>
      <c r="J150" t="s">
        <v>178</v>
      </c>
      <c r="K150" t="s">
        <v>179</v>
      </c>
      <c r="L150" t="s">
        <v>180</v>
      </c>
      <c r="M150">
        <v>140</v>
      </c>
      <c r="N150">
        <v>3.5714285714285712E-2</v>
      </c>
      <c r="O150">
        <v>1</v>
      </c>
      <c r="P150">
        <v>6.8965517241379296E-2</v>
      </c>
      <c r="Q150">
        <v>2.1</v>
      </c>
      <c r="R150">
        <v>26</v>
      </c>
      <c r="S150">
        <v>26</v>
      </c>
      <c r="T150">
        <v>9214</v>
      </c>
      <c r="U150">
        <v>52</v>
      </c>
      <c r="V150">
        <v>9266</v>
      </c>
      <c r="W150">
        <v>26</v>
      </c>
      <c r="X150">
        <v>9214</v>
      </c>
      <c r="Y150">
        <v>52</v>
      </c>
      <c r="Z150">
        <v>9266</v>
      </c>
      <c r="AA150">
        <v>10400</v>
      </c>
      <c r="AB150">
        <v>10400</v>
      </c>
      <c r="AC150">
        <v>0</v>
      </c>
      <c r="AD150">
        <v>0</v>
      </c>
      <c r="AE150">
        <v>3.5999999999999997E-2</v>
      </c>
      <c r="AF150">
        <v>2.032</v>
      </c>
      <c r="AG150">
        <v>4.0000000000000001E-3</v>
      </c>
      <c r="AH150">
        <v>2.9000000000000001E-2</v>
      </c>
      <c r="AI150">
        <v>0.155</v>
      </c>
      <c r="AJ150">
        <v>8.9999999999999993E-3</v>
      </c>
      <c r="AK150">
        <v>0.307</v>
      </c>
      <c r="AL150">
        <v>0</v>
      </c>
      <c r="AM150">
        <v>5.6000000000000001E-2</v>
      </c>
      <c r="AN150">
        <v>1.264</v>
      </c>
      <c r="AO150">
        <v>3.5999999999999997E-2</v>
      </c>
      <c r="AP150">
        <v>2.9000000000000001E-2</v>
      </c>
      <c r="AQ150">
        <v>0</v>
      </c>
      <c r="AR150">
        <v>0</v>
      </c>
      <c r="AS150">
        <v>0</v>
      </c>
      <c r="AT150" t="s">
        <v>243</v>
      </c>
      <c r="AU150" t="s">
        <v>243</v>
      </c>
      <c r="AV150" t="s">
        <v>549</v>
      </c>
    </row>
    <row r="151" spans="1:48" x14ac:dyDescent="0.2">
      <c r="A151" t="s">
        <v>33</v>
      </c>
      <c r="B151" t="s">
        <v>685</v>
      </c>
      <c r="C151" t="s">
        <v>265</v>
      </c>
      <c r="D151" t="s">
        <v>174</v>
      </c>
      <c r="E151" t="s">
        <v>175</v>
      </c>
      <c r="F151" t="s">
        <v>176</v>
      </c>
      <c r="G151">
        <v>0.5</v>
      </c>
      <c r="H151">
        <v>0.5</v>
      </c>
      <c r="I151" t="s">
        <v>177</v>
      </c>
      <c r="J151" t="s">
        <v>178</v>
      </c>
      <c r="K151" t="s">
        <v>179</v>
      </c>
      <c r="L151" t="s">
        <v>180</v>
      </c>
      <c r="M151">
        <v>13</v>
      </c>
      <c r="N151">
        <v>0.38461538461538458</v>
      </c>
      <c r="O151">
        <v>1</v>
      </c>
      <c r="P151">
        <v>0.55555555555555558</v>
      </c>
      <c r="Q151">
        <v>2.62</v>
      </c>
      <c r="R151">
        <v>52</v>
      </c>
      <c r="S151">
        <v>52</v>
      </c>
      <c r="T151">
        <v>13792</v>
      </c>
      <c r="U151">
        <v>104</v>
      </c>
      <c r="V151">
        <v>13896</v>
      </c>
      <c r="W151">
        <v>52</v>
      </c>
      <c r="X151">
        <v>13792</v>
      </c>
      <c r="Y151">
        <v>104</v>
      </c>
      <c r="Z151">
        <v>13896</v>
      </c>
      <c r="AA151">
        <v>10400</v>
      </c>
      <c r="AB151">
        <v>10400</v>
      </c>
      <c r="AC151">
        <v>0</v>
      </c>
      <c r="AD151">
        <v>0</v>
      </c>
      <c r="AE151">
        <v>3.4000000000000002E-2</v>
      </c>
      <c r="AF151">
        <v>2.5489999999999999</v>
      </c>
      <c r="AG151">
        <v>5.0000000000000001E-3</v>
      </c>
      <c r="AH151">
        <v>2.7E-2</v>
      </c>
      <c r="AI151">
        <v>0.13300000000000001</v>
      </c>
      <c r="AJ151">
        <v>6.0000000000000001E-3</v>
      </c>
      <c r="AK151">
        <v>8.8999999999999996E-2</v>
      </c>
      <c r="AL151">
        <v>0</v>
      </c>
      <c r="AM151">
        <v>0.16500000000000001</v>
      </c>
      <c r="AN151">
        <v>1.879</v>
      </c>
      <c r="AO151">
        <v>0.05</v>
      </c>
      <c r="AP151">
        <v>2.7E-2</v>
      </c>
      <c r="AQ151">
        <v>0</v>
      </c>
      <c r="AR151">
        <v>0</v>
      </c>
      <c r="AS151">
        <v>0</v>
      </c>
      <c r="AT151" t="s">
        <v>243</v>
      </c>
      <c r="AU151" t="s">
        <v>243</v>
      </c>
      <c r="AV151" t="s">
        <v>549</v>
      </c>
    </row>
    <row r="152" spans="1:48" x14ac:dyDescent="0.2">
      <c r="A152" t="s">
        <v>33</v>
      </c>
      <c r="B152" t="s">
        <v>686</v>
      </c>
      <c r="C152" t="s">
        <v>265</v>
      </c>
      <c r="D152" t="s">
        <v>174</v>
      </c>
      <c r="E152" t="s">
        <v>175</v>
      </c>
      <c r="F152" t="s">
        <v>176</v>
      </c>
      <c r="G152">
        <v>0.5</v>
      </c>
      <c r="H152">
        <v>0.75</v>
      </c>
      <c r="I152" t="s">
        <v>177</v>
      </c>
      <c r="J152" t="s">
        <v>178</v>
      </c>
      <c r="K152" t="s">
        <v>179</v>
      </c>
      <c r="L152" t="s">
        <v>180</v>
      </c>
      <c r="M152">
        <v>9</v>
      </c>
      <c r="N152">
        <v>0.55555555555555558</v>
      </c>
      <c r="O152">
        <v>1</v>
      </c>
      <c r="P152">
        <v>0.7142857142857143</v>
      </c>
      <c r="Q152">
        <v>3.12</v>
      </c>
      <c r="R152">
        <v>78</v>
      </c>
      <c r="S152">
        <v>78</v>
      </c>
      <c r="T152">
        <v>22466</v>
      </c>
      <c r="U152">
        <v>156</v>
      </c>
      <c r="V152">
        <v>22622</v>
      </c>
      <c r="W152">
        <v>78</v>
      </c>
      <c r="X152">
        <v>22466</v>
      </c>
      <c r="Y152">
        <v>156</v>
      </c>
      <c r="Z152">
        <v>22622</v>
      </c>
      <c r="AA152">
        <v>10400</v>
      </c>
      <c r="AB152">
        <v>10400</v>
      </c>
      <c r="AC152">
        <v>0</v>
      </c>
      <c r="AD152">
        <v>0</v>
      </c>
      <c r="AE152">
        <v>3.6999999999999998E-2</v>
      </c>
      <c r="AF152">
        <v>2.9769999999999999</v>
      </c>
      <c r="AG152">
        <v>2.1999999999999999E-2</v>
      </c>
      <c r="AH152">
        <v>8.3000000000000004E-2</v>
      </c>
      <c r="AI152">
        <v>0.154</v>
      </c>
      <c r="AJ152">
        <v>7.0000000000000001E-3</v>
      </c>
      <c r="AK152">
        <v>8.7999999999999995E-2</v>
      </c>
      <c r="AL152">
        <v>0</v>
      </c>
      <c r="AM152">
        <v>0.25700000000000001</v>
      </c>
      <c r="AN152">
        <v>2.2170000000000001</v>
      </c>
      <c r="AO152">
        <v>6.4000000000000001E-2</v>
      </c>
      <c r="AP152">
        <v>8.3000000000000004E-2</v>
      </c>
      <c r="AQ152">
        <v>0</v>
      </c>
      <c r="AR152">
        <v>0</v>
      </c>
      <c r="AS152">
        <v>0</v>
      </c>
      <c r="AT152" t="s">
        <v>243</v>
      </c>
      <c r="AU152" t="s">
        <v>243</v>
      </c>
      <c r="AV152" t="s">
        <v>549</v>
      </c>
    </row>
    <row r="153" spans="1:48" x14ac:dyDescent="0.2">
      <c r="A153" t="s">
        <v>33</v>
      </c>
      <c r="B153" t="s">
        <v>687</v>
      </c>
      <c r="C153" t="s">
        <v>265</v>
      </c>
      <c r="D153" t="s">
        <v>174</v>
      </c>
      <c r="E153" t="s">
        <v>175</v>
      </c>
      <c r="F153" t="s">
        <v>176</v>
      </c>
      <c r="G153">
        <v>0.5</v>
      </c>
      <c r="H153">
        <v>1</v>
      </c>
      <c r="I153" t="s">
        <v>177</v>
      </c>
      <c r="J153" t="s">
        <v>178</v>
      </c>
      <c r="K153" t="s">
        <v>179</v>
      </c>
      <c r="L153" t="s">
        <v>180</v>
      </c>
      <c r="M153">
        <v>13</v>
      </c>
      <c r="N153">
        <v>0.38461538461538458</v>
      </c>
      <c r="O153">
        <v>1</v>
      </c>
      <c r="P153">
        <v>0.55555555555555558</v>
      </c>
      <c r="Q153">
        <v>3.69</v>
      </c>
      <c r="R153">
        <v>104</v>
      </c>
      <c r="S153">
        <v>104</v>
      </c>
      <c r="T153">
        <v>35215</v>
      </c>
      <c r="U153">
        <v>208</v>
      </c>
      <c r="V153">
        <v>35423</v>
      </c>
      <c r="W153">
        <v>104</v>
      </c>
      <c r="X153">
        <v>35215</v>
      </c>
      <c r="Y153">
        <v>208</v>
      </c>
      <c r="Z153">
        <v>35423</v>
      </c>
      <c r="AA153">
        <v>10400</v>
      </c>
      <c r="AB153">
        <v>10400</v>
      </c>
      <c r="AC153">
        <v>0</v>
      </c>
      <c r="AD153">
        <v>0</v>
      </c>
      <c r="AE153">
        <v>3.4000000000000002E-2</v>
      </c>
      <c r="AF153">
        <v>3.5739999999999998</v>
      </c>
      <c r="AG153">
        <v>0.01</v>
      </c>
      <c r="AH153">
        <v>6.7000000000000004E-2</v>
      </c>
      <c r="AI153">
        <v>0.15</v>
      </c>
      <c r="AJ153">
        <v>6.0000000000000001E-3</v>
      </c>
      <c r="AK153">
        <v>8.7999999999999995E-2</v>
      </c>
      <c r="AL153">
        <v>0</v>
      </c>
      <c r="AM153">
        <v>0.219</v>
      </c>
      <c r="AN153">
        <v>2.84</v>
      </c>
      <c r="AO153">
        <v>6.4000000000000001E-2</v>
      </c>
      <c r="AP153">
        <v>6.7000000000000004E-2</v>
      </c>
      <c r="AQ153">
        <v>0</v>
      </c>
      <c r="AR153">
        <v>0</v>
      </c>
      <c r="AS153">
        <v>0</v>
      </c>
      <c r="AT153" t="s">
        <v>243</v>
      </c>
      <c r="AU153" t="s">
        <v>243</v>
      </c>
      <c r="AV153" t="s">
        <v>549</v>
      </c>
    </row>
    <row r="154" spans="1:48" x14ac:dyDescent="0.2">
      <c r="A154" t="s">
        <v>33</v>
      </c>
      <c r="B154" t="s">
        <v>688</v>
      </c>
      <c r="C154" t="s">
        <v>265</v>
      </c>
      <c r="D154" t="s">
        <v>174</v>
      </c>
      <c r="E154" t="s">
        <v>175</v>
      </c>
      <c r="F154" t="s">
        <v>176</v>
      </c>
      <c r="G154">
        <v>0.5</v>
      </c>
      <c r="H154">
        <v>1.25</v>
      </c>
      <c r="I154" t="s">
        <v>177</v>
      </c>
      <c r="J154" t="s">
        <v>178</v>
      </c>
      <c r="K154" t="s">
        <v>179</v>
      </c>
      <c r="L154" t="s">
        <v>180</v>
      </c>
      <c r="M154">
        <v>13</v>
      </c>
      <c r="N154">
        <v>0.38461538461538458</v>
      </c>
      <c r="O154">
        <v>1</v>
      </c>
      <c r="P154">
        <v>0.55555555555555558</v>
      </c>
      <c r="Q154">
        <v>3.8</v>
      </c>
      <c r="R154">
        <v>130</v>
      </c>
      <c r="S154">
        <v>130</v>
      </c>
      <c r="T154">
        <v>37942</v>
      </c>
      <c r="U154">
        <v>260</v>
      </c>
      <c r="V154">
        <v>38202</v>
      </c>
      <c r="W154">
        <v>130</v>
      </c>
      <c r="X154">
        <v>37942</v>
      </c>
      <c r="Y154">
        <v>260</v>
      </c>
      <c r="Z154">
        <v>38202</v>
      </c>
      <c r="AA154">
        <v>10400</v>
      </c>
      <c r="AB154">
        <v>10400</v>
      </c>
      <c r="AC154">
        <v>0</v>
      </c>
      <c r="AD154">
        <v>0</v>
      </c>
      <c r="AE154">
        <v>0.03</v>
      </c>
      <c r="AF154">
        <v>3.734</v>
      </c>
      <c r="AG154">
        <v>8.0000000000000002E-3</v>
      </c>
      <c r="AH154">
        <v>2.8000000000000001E-2</v>
      </c>
      <c r="AI154">
        <v>0.156</v>
      </c>
      <c r="AJ154">
        <v>6.0000000000000001E-3</v>
      </c>
      <c r="AK154">
        <v>8.5000000000000006E-2</v>
      </c>
      <c r="AL154">
        <v>0</v>
      </c>
      <c r="AM154">
        <v>0.23400000000000001</v>
      </c>
      <c r="AN154">
        <v>3.0129999999999999</v>
      </c>
      <c r="AO154">
        <v>2.1000000000000001E-2</v>
      </c>
      <c r="AP154">
        <v>2.8000000000000001E-2</v>
      </c>
      <c r="AQ154">
        <v>0</v>
      </c>
      <c r="AR154">
        <v>0</v>
      </c>
      <c r="AS154">
        <v>0</v>
      </c>
      <c r="AT154" t="s">
        <v>243</v>
      </c>
      <c r="AU154" t="s">
        <v>243</v>
      </c>
      <c r="AV154" t="s">
        <v>549</v>
      </c>
    </row>
    <row r="155" spans="1:48" x14ac:dyDescent="0.2">
      <c r="A155" t="s">
        <v>34</v>
      </c>
      <c r="B155" t="s">
        <v>689</v>
      </c>
      <c r="C155" t="s">
        <v>548</v>
      </c>
      <c r="D155" t="s">
        <v>174</v>
      </c>
      <c r="E155" t="s">
        <v>175</v>
      </c>
      <c r="F155" t="s">
        <v>176</v>
      </c>
      <c r="G155">
        <v>0.5</v>
      </c>
      <c r="H155">
        <v>0.25</v>
      </c>
      <c r="I155" t="s">
        <v>177</v>
      </c>
      <c r="J155" t="s">
        <v>178</v>
      </c>
      <c r="K155" t="s">
        <v>179</v>
      </c>
      <c r="L155" t="s">
        <v>180</v>
      </c>
      <c r="M155">
        <v>3917</v>
      </c>
      <c r="N155">
        <v>1.2764871074802139E-3</v>
      </c>
      <c r="O155">
        <v>1</v>
      </c>
      <c r="P155">
        <v>2.5497195308516059E-3</v>
      </c>
      <c r="Q155">
        <v>20.079999999999998</v>
      </c>
      <c r="R155">
        <v>576</v>
      </c>
      <c r="S155">
        <v>576</v>
      </c>
      <c r="T155">
        <v>339589</v>
      </c>
      <c r="U155">
        <v>1152</v>
      </c>
      <c r="V155">
        <v>340741</v>
      </c>
      <c r="W155">
        <v>576</v>
      </c>
      <c r="X155">
        <v>339589</v>
      </c>
      <c r="Y155">
        <v>1152</v>
      </c>
      <c r="Z155">
        <v>340741</v>
      </c>
      <c r="AA155">
        <v>230400</v>
      </c>
      <c r="AB155">
        <v>230400</v>
      </c>
      <c r="AC155">
        <v>0</v>
      </c>
      <c r="AD155">
        <v>0</v>
      </c>
      <c r="AE155">
        <v>1.0009999999999999</v>
      </c>
      <c r="AF155">
        <v>18.422999999999998</v>
      </c>
      <c r="AG155">
        <v>2.1999999999999999E-2</v>
      </c>
      <c r="AH155">
        <v>0.63800000000000001</v>
      </c>
      <c r="AI155">
        <v>0.45200000000000001</v>
      </c>
      <c r="AJ155">
        <v>5.1999999999999998E-2</v>
      </c>
      <c r="AK155">
        <v>2.899</v>
      </c>
      <c r="AL155">
        <v>0</v>
      </c>
      <c r="AM155">
        <v>2.7E-2</v>
      </c>
      <c r="AN155">
        <v>14.696999999999999</v>
      </c>
      <c r="AO155">
        <v>6.6000000000000003E-2</v>
      </c>
      <c r="AP155">
        <v>0.63800000000000001</v>
      </c>
      <c r="AQ155">
        <v>0</v>
      </c>
      <c r="AR155">
        <v>0</v>
      </c>
      <c r="AS155">
        <v>0</v>
      </c>
      <c r="AT155" t="s">
        <v>243</v>
      </c>
      <c r="AU155" t="s">
        <v>243</v>
      </c>
      <c r="AV155" t="s">
        <v>549</v>
      </c>
    </row>
    <row r="156" spans="1:48" x14ac:dyDescent="0.2">
      <c r="A156" t="s">
        <v>34</v>
      </c>
      <c r="B156" t="s">
        <v>690</v>
      </c>
      <c r="C156" t="s">
        <v>548</v>
      </c>
      <c r="D156" t="s">
        <v>174</v>
      </c>
      <c r="E156" t="s">
        <v>175</v>
      </c>
      <c r="F156" t="s">
        <v>176</v>
      </c>
      <c r="G156">
        <v>0.5</v>
      </c>
      <c r="H156">
        <v>0.5</v>
      </c>
      <c r="I156" t="s">
        <v>177</v>
      </c>
      <c r="J156" t="s">
        <v>178</v>
      </c>
      <c r="K156" t="s">
        <v>179</v>
      </c>
      <c r="L156" t="s">
        <v>180</v>
      </c>
      <c r="M156">
        <v>3499</v>
      </c>
      <c r="N156">
        <v>1.428979708488139E-3</v>
      </c>
      <c r="O156">
        <v>1</v>
      </c>
      <c r="P156">
        <v>2.8538812785388131E-3</v>
      </c>
      <c r="Q156">
        <v>27.07</v>
      </c>
      <c r="R156">
        <v>1152</v>
      </c>
      <c r="S156">
        <v>1148</v>
      </c>
      <c r="T156">
        <v>676201</v>
      </c>
      <c r="U156">
        <v>2296</v>
      </c>
      <c r="V156">
        <v>678497</v>
      </c>
      <c r="W156">
        <v>1148</v>
      </c>
      <c r="X156">
        <v>676201</v>
      </c>
      <c r="Y156">
        <v>2296</v>
      </c>
      <c r="Z156">
        <v>678497</v>
      </c>
      <c r="AA156">
        <v>230400</v>
      </c>
      <c r="AB156">
        <v>230400</v>
      </c>
      <c r="AC156">
        <v>0</v>
      </c>
      <c r="AD156">
        <v>0</v>
      </c>
      <c r="AE156">
        <v>0.77500000000000002</v>
      </c>
      <c r="AF156">
        <v>25.539000000000001</v>
      </c>
      <c r="AG156">
        <v>4.2000000000000003E-2</v>
      </c>
      <c r="AH156">
        <v>0.71499999999999997</v>
      </c>
      <c r="AI156">
        <v>0.218</v>
      </c>
      <c r="AJ156">
        <v>5.8000000000000003E-2</v>
      </c>
      <c r="AK156">
        <v>2.4580000000000002</v>
      </c>
      <c r="AL156">
        <v>0</v>
      </c>
      <c r="AM156">
        <v>2.5999999999999999E-2</v>
      </c>
      <c r="AN156">
        <v>22.492000000000001</v>
      </c>
      <c r="AO156">
        <v>0.16200000000000001</v>
      </c>
      <c r="AP156">
        <v>0.71499999999999997</v>
      </c>
      <c r="AQ156">
        <v>0</v>
      </c>
      <c r="AR156">
        <v>0</v>
      </c>
      <c r="AS156">
        <v>0</v>
      </c>
      <c r="AT156" t="s">
        <v>243</v>
      </c>
      <c r="AU156" t="s">
        <v>243</v>
      </c>
      <c r="AV156" t="s">
        <v>549</v>
      </c>
    </row>
    <row r="157" spans="1:48" x14ac:dyDescent="0.2">
      <c r="A157" t="s">
        <v>34</v>
      </c>
      <c r="B157" t="s">
        <v>691</v>
      </c>
      <c r="C157" t="s">
        <v>548</v>
      </c>
      <c r="D157" t="s">
        <v>174</v>
      </c>
      <c r="E157" t="s">
        <v>175</v>
      </c>
      <c r="F157" t="s">
        <v>176</v>
      </c>
      <c r="G157">
        <v>0.5</v>
      </c>
      <c r="H157">
        <v>0.75</v>
      </c>
      <c r="I157" t="s">
        <v>177</v>
      </c>
      <c r="J157" t="s">
        <v>178</v>
      </c>
      <c r="K157" t="s">
        <v>179</v>
      </c>
      <c r="L157" t="s">
        <v>180</v>
      </c>
      <c r="M157">
        <v>3108</v>
      </c>
      <c r="N157">
        <v>1.6087516087516091E-3</v>
      </c>
      <c r="O157">
        <v>1</v>
      </c>
      <c r="P157">
        <v>3.2123353678124001E-3</v>
      </c>
      <c r="Q157">
        <v>37.96</v>
      </c>
      <c r="R157">
        <v>1728</v>
      </c>
      <c r="S157">
        <v>1726</v>
      </c>
      <c r="T157">
        <v>1019176</v>
      </c>
      <c r="U157">
        <v>3452</v>
      </c>
      <c r="V157">
        <v>1022628</v>
      </c>
      <c r="W157">
        <v>1726</v>
      </c>
      <c r="X157">
        <v>1019176</v>
      </c>
      <c r="Y157">
        <v>3452</v>
      </c>
      <c r="Z157">
        <v>1022628</v>
      </c>
      <c r="AA157">
        <v>230400</v>
      </c>
      <c r="AB157">
        <v>230400</v>
      </c>
      <c r="AC157">
        <v>0</v>
      </c>
      <c r="AD157">
        <v>0</v>
      </c>
      <c r="AE157">
        <v>0.88600000000000001</v>
      </c>
      <c r="AF157">
        <v>36.430999999999997</v>
      </c>
      <c r="AG157">
        <v>2.4E-2</v>
      </c>
      <c r="AH157">
        <v>0.61699999999999999</v>
      </c>
      <c r="AI157">
        <v>0.185</v>
      </c>
      <c r="AJ157">
        <v>4.8000000000000001E-2</v>
      </c>
      <c r="AK157">
        <v>3.2029999999999998</v>
      </c>
      <c r="AL157">
        <v>0</v>
      </c>
      <c r="AM157">
        <v>2.5999999999999999E-2</v>
      </c>
      <c r="AN157">
        <v>32.773000000000003</v>
      </c>
      <c r="AO157">
        <v>5.0999999999999997E-2</v>
      </c>
      <c r="AP157">
        <v>0.61699999999999999</v>
      </c>
      <c r="AQ157">
        <v>0</v>
      </c>
      <c r="AR157">
        <v>0</v>
      </c>
      <c r="AS157">
        <v>0</v>
      </c>
      <c r="AT157" t="s">
        <v>243</v>
      </c>
      <c r="AU157" t="s">
        <v>243</v>
      </c>
      <c r="AV157" t="s">
        <v>549</v>
      </c>
    </row>
    <row r="158" spans="1:48" x14ac:dyDescent="0.2">
      <c r="A158" t="s">
        <v>34</v>
      </c>
      <c r="B158" t="s">
        <v>692</v>
      </c>
      <c r="C158" t="s">
        <v>548</v>
      </c>
      <c r="D158" t="s">
        <v>174</v>
      </c>
      <c r="E158" t="s">
        <v>175</v>
      </c>
      <c r="F158" t="s">
        <v>176</v>
      </c>
      <c r="G158">
        <v>0.5</v>
      </c>
      <c r="H158">
        <v>1</v>
      </c>
      <c r="I158" t="s">
        <v>177</v>
      </c>
      <c r="J158" t="s">
        <v>178</v>
      </c>
      <c r="K158" t="s">
        <v>179</v>
      </c>
      <c r="L158" t="s">
        <v>180</v>
      </c>
      <c r="M158">
        <v>2942</v>
      </c>
      <c r="N158">
        <v>1.6995241332426921E-3</v>
      </c>
      <c r="O158">
        <v>1</v>
      </c>
      <c r="P158">
        <v>3.3932813030200198E-3</v>
      </c>
      <c r="Q158">
        <v>80.11</v>
      </c>
      <c r="R158">
        <v>2304</v>
      </c>
      <c r="S158">
        <v>2304</v>
      </c>
      <c r="T158">
        <v>1306698</v>
      </c>
      <c r="U158">
        <v>4608</v>
      </c>
      <c r="V158">
        <v>1311306</v>
      </c>
      <c r="W158">
        <v>2304</v>
      </c>
      <c r="X158">
        <v>1306698</v>
      </c>
      <c r="Y158">
        <v>4608</v>
      </c>
      <c r="Z158">
        <v>1311306</v>
      </c>
      <c r="AA158">
        <v>230400</v>
      </c>
      <c r="AB158">
        <v>230400</v>
      </c>
      <c r="AC158">
        <v>0</v>
      </c>
      <c r="AD158">
        <v>0</v>
      </c>
      <c r="AE158">
        <v>0.81</v>
      </c>
      <c r="AF158">
        <v>78.480999999999995</v>
      </c>
      <c r="AG158">
        <v>5.7000000000000002E-2</v>
      </c>
      <c r="AH158">
        <v>0.76700000000000002</v>
      </c>
      <c r="AI158">
        <v>0.23400000000000001</v>
      </c>
      <c r="AJ158">
        <v>4.9000000000000002E-2</v>
      </c>
      <c r="AK158">
        <v>3.35</v>
      </c>
      <c r="AL158">
        <v>0</v>
      </c>
      <c r="AM158">
        <v>2.7E-2</v>
      </c>
      <c r="AN158">
        <v>74.441000000000003</v>
      </c>
      <c r="AO158">
        <v>0.13300000000000001</v>
      </c>
      <c r="AP158">
        <v>0.76700000000000002</v>
      </c>
      <c r="AQ158">
        <v>0</v>
      </c>
      <c r="AR158">
        <v>0</v>
      </c>
      <c r="AS158">
        <v>0</v>
      </c>
      <c r="AT158" t="s">
        <v>243</v>
      </c>
      <c r="AU158" t="s">
        <v>243</v>
      </c>
      <c r="AV158" t="s">
        <v>549</v>
      </c>
    </row>
    <row r="159" spans="1:48" x14ac:dyDescent="0.2">
      <c r="A159" t="s">
        <v>34</v>
      </c>
      <c r="B159" t="s">
        <v>693</v>
      </c>
      <c r="C159" t="s">
        <v>548</v>
      </c>
      <c r="D159" t="s">
        <v>174</v>
      </c>
      <c r="E159" t="s">
        <v>175</v>
      </c>
      <c r="F159" t="s">
        <v>176</v>
      </c>
      <c r="G159">
        <v>0.5</v>
      </c>
      <c r="H159">
        <v>1.25</v>
      </c>
      <c r="I159" t="s">
        <v>177</v>
      </c>
      <c r="J159" t="s">
        <v>178</v>
      </c>
      <c r="K159" t="s">
        <v>179</v>
      </c>
      <c r="L159" t="s">
        <v>180</v>
      </c>
      <c r="M159">
        <v>3622</v>
      </c>
      <c r="N159">
        <v>1.380452788514633E-3</v>
      </c>
      <c r="O159">
        <v>1</v>
      </c>
      <c r="P159">
        <v>2.7570995312930801E-3</v>
      </c>
      <c r="Q159">
        <v>98.54</v>
      </c>
      <c r="R159">
        <v>2880</v>
      </c>
      <c r="S159">
        <v>2880</v>
      </c>
      <c r="T159">
        <v>1590387</v>
      </c>
      <c r="U159">
        <v>5760</v>
      </c>
      <c r="V159">
        <v>1596147</v>
      </c>
      <c r="W159">
        <v>2880</v>
      </c>
      <c r="X159">
        <v>1590387</v>
      </c>
      <c r="Y159">
        <v>5760</v>
      </c>
      <c r="Z159">
        <v>1596147</v>
      </c>
      <c r="AA159">
        <v>230400</v>
      </c>
      <c r="AB159">
        <v>230400</v>
      </c>
      <c r="AC159">
        <v>0</v>
      </c>
      <c r="AD159">
        <v>0</v>
      </c>
      <c r="AE159">
        <v>0.85099999999999998</v>
      </c>
      <c r="AF159">
        <v>96.927999999999997</v>
      </c>
      <c r="AG159">
        <v>4.2999999999999997E-2</v>
      </c>
      <c r="AH159">
        <v>0.71799999999999997</v>
      </c>
      <c r="AI159">
        <v>0.25600000000000001</v>
      </c>
      <c r="AJ159">
        <v>6.6000000000000003E-2</v>
      </c>
      <c r="AK159">
        <v>3.3889999999999998</v>
      </c>
      <c r="AL159">
        <v>0</v>
      </c>
      <c r="AM159">
        <v>0.11700000000000001</v>
      </c>
      <c r="AN159">
        <v>92.730999999999995</v>
      </c>
      <c r="AO159">
        <v>0.14699999999999999</v>
      </c>
      <c r="AP159">
        <v>0.71799999999999997</v>
      </c>
      <c r="AQ159">
        <v>0</v>
      </c>
      <c r="AR159">
        <v>0</v>
      </c>
      <c r="AS159">
        <v>0</v>
      </c>
      <c r="AT159" t="s">
        <v>243</v>
      </c>
      <c r="AU159" t="s">
        <v>243</v>
      </c>
      <c r="AV159" t="s">
        <v>549</v>
      </c>
    </row>
    <row r="160" spans="1:48" x14ac:dyDescent="0.2">
      <c r="A160" t="s">
        <v>34</v>
      </c>
      <c r="B160" t="s">
        <v>694</v>
      </c>
      <c r="C160" t="s">
        <v>265</v>
      </c>
      <c r="D160" t="s">
        <v>174</v>
      </c>
      <c r="E160" t="s">
        <v>175</v>
      </c>
      <c r="F160" t="s">
        <v>176</v>
      </c>
      <c r="G160">
        <v>0.5</v>
      </c>
      <c r="H160">
        <v>0.25</v>
      </c>
      <c r="I160" t="s">
        <v>177</v>
      </c>
      <c r="J160" t="s">
        <v>178</v>
      </c>
      <c r="K160" t="s">
        <v>179</v>
      </c>
      <c r="L160" t="s">
        <v>180</v>
      </c>
      <c r="M160">
        <v>177</v>
      </c>
      <c r="N160">
        <v>2.8248587570621469E-2</v>
      </c>
      <c r="O160">
        <v>1</v>
      </c>
      <c r="P160">
        <v>5.4945054945054937E-2</v>
      </c>
      <c r="Q160">
        <v>27.77</v>
      </c>
      <c r="R160">
        <v>576</v>
      </c>
      <c r="S160">
        <v>576</v>
      </c>
      <c r="T160">
        <v>305045</v>
      </c>
      <c r="U160">
        <v>1152</v>
      </c>
      <c r="V160">
        <v>306197</v>
      </c>
      <c r="W160">
        <v>576</v>
      </c>
      <c r="X160">
        <v>305045</v>
      </c>
      <c r="Y160">
        <v>1152</v>
      </c>
      <c r="Z160">
        <v>306197</v>
      </c>
      <c r="AA160">
        <v>230400</v>
      </c>
      <c r="AB160">
        <v>230400</v>
      </c>
      <c r="AC160">
        <v>0</v>
      </c>
      <c r="AD160">
        <v>0</v>
      </c>
      <c r="AE160">
        <v>0.75700000000000001</v>
      </c>
      <c r="AF160">
        <v>26.234000000000002</v>
      </c>
      <c r="AG160">
        <v>1.7000000000000001E-2</v>
      </c>
      <c r="AH160">
        <v>0.76</v>
      </c>
      <c r="AI160">
        <v>0.184</v>
      </c>
      <c r="AJ160">
        <v>5.1999999999999998E-2</v>
      </c>
      <c r="AK160">
        <v>2.9510000000000001</v>
      </c>
      <c r="AL160">
        <v>0</v>
      </c>
      <c r="AM160">
        <v>2.8650000000000002</v>
      </c>
      <c r="AN160">
        <v>19.858000000000001</v>
      </c>
      <c r="AO160">
        <v>0.13</v>
      </c>
      <c r="AP160">
        <v>0.76</v>
      </c>
      <c r="AQ160">
        <v>0</v>
      </c>
      <c r="AR160">
        <v>0</v>
      </c>
      <c r="AS160">
        <v>0</v>
      </c>
      <c r="AT160" t="s">
        <v>243</v>
      </c>
      <c r="AU160" t="s">
        <v>243</v>
      </c>
      <c r="AV160" t="s">
        <v>549</v>
      </c>
    </row>
    <row r="161" spans="1:108" x14ac:dyDescent="0.2">
      <c r="A161" t="s">
        <v>34</v>
      </c>
      <c r="B161" t="s">
        <v>695</v>
      </c>
      <c r="C161" t="s">
        <v>265</v>
      </c>
      <c r="D161" t="s">
        <v>174</v>
      </c>
      <c r="E161" t="s">
        <v>175</v>
      </c>
      <c r="F161" t="s">
        <v>176</v>
      </c>
      <c r="G161">
        <v>0.5</v>
      </c>
      <c r="H161">
        <v>0.5</v>
      </c>
      <c r="I161" t="s">
        <v>177</v>
      </c>
      <c r="J161" t="s">
        <v>178</v>
      </c>
      <c r="K161" t="s">
        <v>179</v>
      </c>
      <c r="L161" t="s">
        <v>180</v>
      </c>
      <c r="M161">
        <v>278</v>
      </c>
      <c r="N161">
        <v>1.798561151079137E-2</v>
      </c>
      <c r="O161">
        <v>1</v>
      </c>
      <c r="P161">
        <v>3.5335689045936397E-2</v>
      </c>
      <c r="Q161">
        <v>35.5</v>
      </c>
      <c r="R161">
        <v>1152</v>
      </c>
      <c r="S161">
        <v>1152</v>
      </c>
      <c r="T161">
        <v>537356</v>
      </c>
      <c r="U161">
        <v>2304</v>
      </c>
      <c r="V161">
        <v>539660</v>
      </c>
      <c r="W161">
        <v>1152</v>
      </c>
      <c r="X161">
        <v>537356</v>
      </c>
      <c r="Y161">
        <v>2304</v>
      </c>
      <c r="Z161">
        <v>539660</v>
      </c>
      <c r="AA161">
        <v>230400</v>
      </c>
      <c r="AB161">
        <v>230400</v>
      </c>
      <c r="AC161">
        <v>0</v>
      </c>
      <c r="AD161">
        <v>0</v>
      </c>
      <c r="AE161">
        <v>0.82899999999999996</v>
      </c>
      <c r="AF161">
        <v>33.750999999999998</v>
      </c>
      <c r="AG161">
        <v>9.8000000000000004E-2</v>
      </c>
      <c r="AH161">
        <v>0.82499999999999996</v>
      </c>
      <c r="AI161">
        <v>0.17299999999999999</v>
      </c>
      <c r="AJ161">
        <v>4.9000000000000002E-2</v>
      </c>
      <c r="AK161">
        <v>3.2480000000000002</v>
      </c>
      <c r="AL161">
        <v>0</v>
      </c>
      <c r="AM161">
        <v>3.2959999999999998</v>
      </c>
      <c r="AN161">
        <v>26.716000000000001</v>
      </c>
      <c r="AO161">
        <v>0.06</v>
      </c>
      <c r="AP161">
        <v>0.82499999999999996</v>
      </c>
      <c r="AQ161">
        <v>0</v>
      </c>
      <c r="AR161">
        <v>0</v>
      </c>
      <c r="AS161">
        <v>0</v>
      </c>
      <c r="AT161" t="s">
        <v>243</v>
      </c>
      <c r="AU161" t="s">
        <v>243</v>
      </c>
      <c r="AV161" t="s">
        <v>549</v>
      </c>
    </row>
    <row r="162" spans="1:108" x14ac:dyDescent="0.2">
      <c r="A162" t="s">
        <v>34</v>
      </c>
      <c r="B162" t="s">
        <v>696</v>
      </c>
      <c r="C162" t="s">
        <v>265</v>
      </c>
      <c r="D162" t="s">
        <v>174</v>
      </c>
      <c r="E162" t="s">
        <v>175</v>
      </c>
      <c r="F162" t="s">
        <v>176</v>
      </c>
      <c r="G162">
        <v>0.5</v>
      </c>
      <c r="H162">
        <v>0.75</v>
      </c>
      <c r="I162" t="s">
        <v>177</v>
      </c>
      <c r="J162" t="s">
        <v>178</v>
      </c>
      <c r="K162" t="s">
        <v>179</v>
      </c>
      <c r="L162" t="s">
        <v>180</v>
      </c>
      <c r="M162">
        <v>278</v>
      </c>
      <c r="N162">
        <v>1.798561151079137E-2</v>
      </c>
      <c r="O162">
        <v>1</v>
      </c>
      <c r="P162">
        <v>3.5335689045936397E-2</v>
      </c>
      <c r="Q162">
        <v>47.21</v>
      </c>
      <c r="R162">
        <v>1728</v>
      </c>
      <c r="S162">
        <v>1728</v>
      </c>
      <c r="T162">
        <v>766600</v>
      </c>
      <c r="U162">
        <v>3456</v>
      </c>
      <c r="V162">
        <v>770056</v>
      </c>
      <c r="W162">
        <v>1728</v>
      </c>
      <c r="X162">
        <v>766600</v>
      </c>
      <c r="Y162">
        <v>3456</v>
      </c>
      <c r="Z162">
        <v>770056</v>
      </c>
      <c r="AA162">
        <v>230400</v>
      </c>
      <c r="AB162">
        <v>230400</v>
      </c>
      <c r="AC162">
        <v>0</v>
      </c>
      <c r="AD162">
        <v>0</v>
      </c>
      <c r="AE162">
        <v>0.79400000000000004</v>
      </c>
      <c r="AF162">
        <v>45.497999999999998</v>
      </c>
      <c r="AG162">
        <v>0.11899999999999999</v>
      </c>
      <c r="AH162">
        <v>0.80400000000000005</v>
      </c>
      <c r="AI162">
        <v>0.182</v>
      </c>
      <c r="AJ162">
        <v>5.0999999999999997E-2</v>
      </c>
      <c r="AK162">
        <v>2.8079999999999998</v>
      </c>
      <c r="AL162">
        <v>0</v>
      </c>
      <c r="AM162">
        <v>3.0510000000000002</v>
      </c>
      <c r="AN162">
        <v>39.055</v>
      </c>
      <c r="AO162">
        <v>9.1999999999999998E-2</v>
      </c>
      <c r="AP162">
        <v>0.80400000000000005</v>
      </c>
      <c r="AQ162">
        <v>0</v>
      </c>
      <c r="AR162">
        <v>0</v>
      </c>
      <c r="AS162">
        <v>0</v>
      </c>
      <c r="AT162" t="s">
        <v>243</v>
      </c>
      <c r="AU162" t="s">
        <v>243</v>
      </c>
      <c r="AV162" t="s">
        <v>549</v>
      </c>
    </row>
    <row r="163" spans="1:108" x14ac:dyDescent="0.2">
      <c r="A163" t="s">
        <v>34</v>
      </c>
      <c r="B163" t="s">
        <v>697</v>
      </c>
      <c r="C163" t="s">
        <v>265</v>
      </c>
      <c r="D163" t="s">
        <v>174</v>
      </c>
      <c r="E163" t="s">
        <v>175</v>
      </c>
      <c r="F163" t="s">
        <v>176</v>
      </c>
      <c r="G163">
        <v>0.5</v>
      </c>
      <c r="H163">
        <v>1</v>
      </c>
      <c r="I163" t="s">
        <v>177</v>
      </c>
      <c r="J163" t="s">
        <v>178</v>
      </c>
      <c r="K163" t="s">
        <v>179</v>
      </c>
      <c r="L163" t="s">
        <v>180</v>
      </c>
      <c r="M163">
        <v>255</v>
      </c>
      <c r="N163">
        <v>1.9607843137254902E-2</v>
      </c>
      <c r="O163">
        <v>1</v>
      </c>
      <c r="P163">
        <v>3.8461538461538457E-2</v>
      </c>
      <c r="Q163">
        <v>60.63</v>
      </c>
      <c r="R163">
        <v>2304</v>
      </c>
      <c r="S163">
        <v>2304</v>
      </c>
      <c r="T163">
        <v>1032814</v>
      </c>
      <c r="U163">
        <v>4608</v>
      </c>
      <c r="V163">
        <v>1037422</v>
      </c>
      <c r="W163">
        <v>2304</v>
      </c>
      <c r="X163">
        <v>1032814</v>
      </c>
      <c r="Y163">
        <v>4608</v>
      </c>
      <c r="Z163">
        <v>1037422</v>
      </c>
      <c r="AA163">
        <v>230400</v>
      </c>
      <c r="AB163">
        <v>230400</v>
      </c>
      <c r="AC163">
        <v>0</v>
      </c>
      <c r="AD163">
        <v>0</v>
      </c>
      <c r="AE163">
        <v>0.73799999999999999</v>
      </c>
      <c r="AF163">
        <v>59.142000000000003</v>
      </c>
      <c r="AG163">
        <v>0.11799999999999999</v>
      </c>
      <c r="AH163">
        <v>0.63400000000000001</v>
      </c>
      <c r="AI163">
        <v>0.183</v>
      </c>
      <c r="AJ163">
        <v>8.3000000000000004E-2</v>
      </c>
      <c r="AK163">
        <v>3.9140000000000001</v>
      </c>
      <c r="AL163">
        <v>0</v>
      </c>
      <c r="AM163">
        <v>2.9140000000000001</v>
      </c>
      <c r="AN163">
        <v>51.832999999999998</v>
      </c>
      <c r="AO163">
        <v>3.1E-2</v>
      </c>
      <c r="AP163">
        <v>0.63400000000000001</v>
      </c>
      <c r="AQ163">
        <v>0</v>
      </c>
      <c r="AR163">
        <v>0</v>
      </c>
      <c r="AS163">
        <v>0</v>
      </c>
      <c r="AT163" t="s">
        <v>243</v>
      </c>
      <c r="AU163" t="s">
        <v>243</v>
      </c>
      <c r="AV163" t="s">
        <v>549</v>
      </c>
    </row>
    <row r="164" spans="1:108" x14ac:dyDescent="0.2">
      <c r="A164" t="s">
        <v>34</v>
      </c>
      <c r="B164" t="s">
        <v>698</v>
      </c>
      <c r="C164" t="s">
        <v>265</v>
      </c>
      <c r="D164" t="s">
        <v>174</v>
      </c>
      <c r="E164" t="s">
        <v>175</v>
      </c>
      <c r="F164" t="s">
        <v>176</v>
      </c>
      <c r="G164">
        <v>0.5</v>
      </c>
      <c r="H164">
        <v>1.25</v>
      </c>
      <c r="I164" t="s">
        <v>177</v>
      </c>
      <c r="J164" t="s">
        <v>178</v>
      </c>
      <c r="K164" t="s">
        <v>179</v>
      </c>
      <c r="L164" t="s">
        <v>180</v>
      </c>
      <c r="M164">
        <v>285</v>
      </c>
      <c r="N164">
        <v>1.754385964912281E-2</v>
      </c>
      <c r="O164">
        <v>1</v>
      </c>
      <c r="P164">
        <v>3.4482758620689648E-2</v>
      </c>
      <c r="Q164">
        <v>81.040000000000006</v>
      </c>
      <c r="R164">
        <v>2880</v>
      </c>
      <c r="S164">
        <v>2879</v>
      </c>
      <c r="T164">
        <v>1260618</v>
      </c>
      <c r="U164">
        <v>5758</v>
      </c>
      <c r="V164">
        <v>1266376</v>
      </c>
      <c r="W164">
        <v>2879</v>
      </c>
      <c r="X164">
        <v>1260618</v>
      </c>
      <c r="Y164">
        <v>5758</v>
      </c>
      <c r="Z164">
        <v>1266376</v>
      </c>
      <c r="AA164">
        <v>230400</v>
      </c>
      <c r="AB164">
        <v>230400</v>
      </c>
      <c r="AC164">
        <v>0</v>
      </c>
      <c r="AD164">
        <v>0</v>
      </c>
      <c r="AE164">
        <v>0.81299999999999994</v>
      </c>
      <c r="AF164">
        <v>79.542000000000002</v>
      </c>
      <c r="AG164">
        <v>4.3999999999999997E-2</v>
      </c>
      <c r="AH164">
        <v>0.64500000000000002</v>
      </c>
      <c r="AI164">
        <v>0.185</v>
      </c>
      <c r="AJ164">
        <v>5.2999999999999999E-2</v>
      </c>
      <c r="AK164">
        <v>2.8290000000000002</v>
      </c>
      <c r="AL164">
        <v>0</v>
      </c>
      <c r="AM164">
        <v>3.04</v>
      </c>
      <c r="AN164">
        <v>73.218999999999994</v>
      </c>
      <c r="AO164">
        <v>8.1000000000000003E-2</v>
      </c>
      <c r="AP164">
        <v>0.64500000000000002</v>
      </c>
      <c r="AQ164">
        <v>0</v>
      </c>
      <c r="AR164">
        <v>0</v>
      </c>
      <c r="AS164">
        <v>0</v>
      </c>
      <c r="AT164" t="s">
        <v>243</v>
      </c>
      <c r="AU164" t="s">
        <v>243</v>
      </c>
      <c r="AV164" t="s">
        <v>549</v>
      </c>
    </row>
    <row r="166" spans="1:108" x14ac:dyDescent="0.2">
      <c r="A166" t="s">
        <v>699</v>
      </c>
    </row>
    <row r="167" spans="1:108" x14ac:dyDescent="0.2">
      <c r="A167" t="s">
        <v>72</v>
      </c>
      <c r="B167" t="s">
        <v>454</v>
      </c>
      <c r="C167" t="s">
        <v>700</v>
      </c>
      <c r="D167" t="s">
        <v>701</v>
      </c>
      <c r="E167" t="s">
        <v>702</v>
      </c>
      <c r="F167" t="s">
        <v>703</v>
      </c>
      <c r="G167" t="s">
        <v>704</v>
      </c>
      <c r="H167" t="s">
        <v>705</v>
      </c>
      <c r="I167" t="s">
        <v>706</v>
      </c>
      <c r="J167" t="s">
        <v>707</v>
      </c>
      <c r="K167" t="s">
        <v>708</v>
      </c>
      <c r="L167" t="s">
        <v>709</v>
      </c>
      <c r="M167" t="s">
        <v>710</v>
      </c>
    </row>
    <row r="168" spans="1:108" x14ac:dyDescent="0.2">
      <c r="A168" t="s">
        <v>242</v>
      </c>
      <c r="B168">
        <v>0.48</v>
      </c>
      <c r="C168">
        <v>0.8</v>
      </c>
      <c r="D168">
        <v>0.48</v>
      </c>
      <c r="E168">
        <v>0.48</v>
      </c>
      <c r="F168">
        <v>3.5419999999999998</v>
      </c>
      <c r="G168">
        <v>5</v>
      </c>
      <c r="H168">
        <v>16</v>
      </c>
      <c r="I168">
        <v>14748</v>
      </c>
      <c r="J168">
        <v>32</v>
      </c>
      <c r="K168">
        <v>14780</v>
      </c>
      <c r="L168">
        <v>16</v>
      </c>
      <c r="M168">
        <v>14780</v>
      </c>
    </row>
    <row r="170" spans="1:108" x14ac:dyDescent="0.2">
      <c r="A170" t="s">
        <v>711</v>
      </c>
    </row>
    <row r="171" spans="1:108" x14ac:dyDescent="0.2">
      <c r="A171" t="s">
        <v>0</v>
      </c>
      <c r="B171" t="s">
        <v>71</v>
      </c>
      <c r="C171" t="s">
        <v>72</v>
      </c>
      <c r="D171" t="s">
        <v>73</v>
      </c>
      <c r="E171" t="s">
        <v>74</v>
      </c>
      <c r="F171" t="s">
        <v>75</v>
      </c>
      <c r="G171" t="s">
        <v>76</v>
      </c>
      <c r="H171" t="s">
        <v>77</v>
      </c>
      <c r="I171" t="s">
        <v>78</v>
      </c>
      <c r="J171" t="s">
        <v>79</v>
      </c>
      <c r="K171" t="s">
        <v>80</v>
      </c>
      <c r="L171" t="s">
        <v>81</v>
      </c>
      <c r="M171" t="s">
        <v>82</v>
      </c>
      <c r="N171" t="s">
        <v>83</v>
      </c>
      <c r="O171" t="s">
        <v>84</v>
      </c>
      <c r="P171" t="s">
        <v>85</v>
      </c>
      <c r="Q171" t="s">
        <v>86</v>
      </c>
      <c r="R171" t="s">
        <v>87</v>
      </c>
      <c r="S171" t="s">
        <v>88</v>
      </c>
      <c r="T171" t="s">
        <v>89</v>
      </c>
      <c r="U171" t="s">
        <v>90</v>
      </c>
      <c r="V171" t="s">
        <v>91</v>
      </c>
      <c r="W171" t="s">
        <v>92</v>
      </c>
      <c r="X171" t="s">
        <v>93</v>
      </c>
      <c r="Y171" t="s">
        <v>94</v>
      </c>
      <c r="Z171" t="s">
        <v>95</v>
      </c>
      <c r="AA171" t="s">
        <v>96</v>
      </c>
      <c r="AB171" t="s">
        <v>97</v>
      </c>
      <c r="AC171" t="s">
        <v>98</v>
      </c>
      <c r="AD171" t="s">
        <v>99</v>
      </c>
      <c r="AE171" t="s">
        <v>100</v>
      </c>
      <c r="AF171" t="s">
        <v>101</v>
      </c>
      <c r="AG171" t="s">
        <v>102</v>
      </c>
      <c r="AH171" t="s">
        <v>103</v>
      </c>
      <c r="AI171" t="s">
        <v>104</v>
      </c>
      <c r="AJ171" t="s">
        <v>105</v>
      </c>
      <c r="AK171" t="s">
        <v>106</v>
      </c>
      <c r="AL171" t="s">
        <v>107</v>
      </c>
      <c r="AM171" t="s">
        <v>108</v>
      </c>
      <c r="AN171" t="s">
        <v>109</v>
      </c>
      <c r="AO171" t="s">
        <v>110</v>
      </c>
      <c r="AP171" t="s">
        <v>111</v>
      </c>
      <c r="AQ171" t="s">
        <v>112</v>
      </c>
      <c r="AR171" t="s">
        <v>113</v>
      </c>
      <c r="AS171" t="s">
        <v>114</v>
      </c>
      <c r="AT171" t="s">
        <v>115</v>
      </c>
      <c r="AU171" t="s">
        <v>116</v>
      </c>
      <c r="AV171" t="s">
        <v>117</v>
      </c>
      <c r="AW171" t="s">
        <v>118</v>
      </c>
      <c r="AX171" t="s">
        <v>119</v>
      </c>
      <c r="AY171" t="s">
        <v>120</v>
      </c>
      <c r="AZ171" t="s">
        <v>121</v>
      </c>
      <c r="BA171" t="s">
        <v>122</v>
      </c>
      <c r="BB171" t="s">
        <v>123</v>
      </c>
      <c r="BC171" t="s">
        <v>124</v>
      </c>
      <c r="BD171" t="s">
        <v>125</v>
      </c>
      <c r="BE171" t="s">
        <v>126</v>
      </c>
      <c r="BF171" t="s">
        <v>127</v>
      </c>
      <c r="BG171" t="s">
        <v>128</v>
      </c>
      <c r="BH171" t="s">
        <v>129</v>
      </c>
      <c r="BI171" t="s">
        <v>130</v>
      </c>
      <c r="BJ171" t="s">
        <v>131</v>
      </c>
      <c r="BK171" t="s">
        <v>132</v>
      </c>
      <c r="BL171" t="s">
        <v>133</v>
      </c>
      <c r="BM171" t="s">
        <v>134</v>
      </c>
      <c r="BN171" t="s">
        <v>135</v>
      </c>
      <c r="BO171" t="s">
        <v>136</v>
      </c>
      <c r="BP171" t="s">
        <v>137</v>
      </c>
      <c r="BQ171" t="s">
        <v>138</v>
      </c>
      <c r="BR171" t="s">
        <v>139</v>
      </c>
      <c r="BS171" t="s">
        <v>140</v>
      </c>
      <c r="BT171" t="s">
        <v>141</v>
      </c>
      <c r="BU171" t="s">
        <v>142</v>
      </c>
      <c r="BV171" t="s">
        <v>143</v>
      </c>
      <c r="BW171" t="s">
        <v>144</v>
      </c>
      <c r="BX171" t="s">
        <v>145</v>
      </c>
      <c r="BY171" t="s">
        <v>146</v>
      </c>
      <c r="BZ171" t="s">
        <v>147</v>
      </c>
      <c r="CA171" t="s">
        <v>148</v>
      </c>
      <c r="CB171" t="s">
        <v>149</v>
      </c>
      <c r="CC171" t="s">
        <v>150</v>
      </c>
      <c r="CD171" t="s">
        <v>151</v>
      </c>
      <c r="CE171" t="s">
        <v>152</v>
      </c>
      <c r="CF171" t="s">
        <v>153</v>
      </c>
      <c r="CG171" t="s">
        <v>154</v>
      </c>
      <c r="CH171" t="s">
        <v>155</v>
      </c>
      <c r="CI171" t="s">
        <v>156</v>
      </c>
      <c r="CJ171" t="s">
        <v>157</v>
      </c>
      <c r="CK171" t="s">
        <v>158</v>
      </c>
      <c r="CL171" t="s">
        <v>159</v>
      </c>
      <c r="CM171" t="s">
        <v>160</v>
      </c>
      <c r="CN171" t="s">
        <v>161</v>
      </c>
      <c r="CO171" t="s">
        <v>162</v>
      </c>
      <c r="CP171" t="s">
        <v>163</v>
      </c>
      <c r="CQ171" t="s">
        <v>164</v>
      </c>
      <c r="CR171" t="s">
        <v>165</v>
      </c>
      <c r="CS171" t="s">
        <v>166</v>
      </c>
      <c r="CT171" t="s">
        <v>167</v>
      </c>
      <c r="CU171" t="s">
        <v>168</v>
      </c>
      <c r="CV171" t="s">
        <v>169</v>
      </c>
      <c r="CW171" t="s">
        <v>170</v>
      </c>
      <c r="CX171" t="s">
        <v>171</v>
      </c>
      <c r="CY171" t="s">
        <v>189</v>
      </c>
      <c r="CZ171" t="s">
        <v>190</v>
      </c>
      <c r="DA171" t="s">
        <v>191</v>
      </c>
      <c r="DB171" t="s">
        <v>192</v>
      </c>
      <c r="DC171" t="s">
        <v>193</v>
      </c>
      <c r="DD171" t="s">
        <v>194</v>
      </c>
    </row>
    <row r="172" spans="1:108" x14ac:dyDescent="0.2">
      <c r="A172" t="s">
        <v>560</v>
      </c>
      <c r="B172" t="s">
        <v>712</v>
      </c>
      <c r="C172" t="s">
        <v>242</v>
      </c>
      <c r="D172" t="s">
        <v>174</v>
      </c>
      <c r="E172" t="s">
        <v>175</v>
      </c>
      <c r="F172" t="s">
        <v>176</v>
      </c>
      <c r="G172">
        <v>0.5</v>
      </c>
      <c r="H172">
        <v>5</v>
      </c>
      <c r="I172" t="s">
        <v>177</v>
      </c>
      <c r="J172" t="s">
        <v>178</v>
      </c>
      <c r="K172" t="s">
        <v>179</v>
      </c>
      <c r="L172" t="s">
        <v>180</v>
      </c>
      <c r="M172">
        <v>8813</v>
      </c>
      <c r="N172">
        <v>5.0153182798139108E-2</v>
      </c>
      <c r="O172">
        <v>0.97571743929359822</v>
      </c>
      <c r="P172">
        <v>9.5402546945823452E-2</v>
      </c>
      <c r="Q172">
        <v>29.48</v>
      </c>
      <c r="R172">
        <v>491</v>
      </c>
      <c r="S172">
        <v>491</v>
      </c>
      <c r="T172">
        <v>131176</v>
      </c>
      <c r="U172">
        <v>982</v>
      </c>
      <c r="V172">
        <v>132158</v>
      </c>
      <c r="W172">
        <v>16</v>
      </c>
      <c r="X172">
        <v>131176</v>
      </c>
      <c r="Y172">
        <v>982</v>
      </c>
      <c r="Z172">
        <v>132158</v>
      </c>
      <c r="AA172">
        <v>9828</v>
      </c>
      <c r="AB172">
        <v>9828</v>
      </c>
      <c r="AC172">
        <v>0</v>
      </c>
      <c r="AD172">
        <v>0</v>
      </c>
      <c r="AE172">
        <v>21.053000000000001</v>
      </c>
      <c r="AF172">
        <v>8.3620000000000001</v>
      </c>
      <c r="AG172">
        <v>1.7999999999999999E-2</v>
      </c>
      <c r="AH172">
        <v>4.9000000000000002E-2</v>
      </c>
      <c r="AI172">
        <v>0.90500000000000003</v>
      </c>
      <c r="AJ172">
        <v>5.7000000000000002E-2</v>
      </c>
      <c r="AK172">
        <v>0</v>
      </c>
      <c r="AL172">
        <v>0</v>
      </c>
      <c r="AM172">
        <v>2E-3</v>
      </c>
      <c r="AN172">
        <v>6.1769999999999996</v>
      </c>
      <c r="AO172">
        <v>9.7000000000000003E-2</v>
      </c>
      <c r="AP172">
        <v>4.9000000000000002E-2</v>
      </c>
      <c r="AQ172">
        <v>0</v>
      </c>
      <c r="AR172">
        <v>0</v>
      </c>
      <c r="AS172">
        <v>0</v>
      </c>
      <c r="AT172" t="s">
        <v>243</v>
      </c>
      <c r="AU172" t="s">
        <v>243</v>
      </c>
      <c r="AV172" t="s">
        <v>549</v>
      </c>
    </row>
    <row r="173" spans="1:108" x14ac:dyDescent="0.2">
      <c r="A173" t="s">
        <v>560</v>
      </c>
      <c r="B173" t="s">
        <v>713</v>
      </c>
      <c r="C173" t="s">
        <v>242</v>
      </c>
      <c r="D173" t="s">
        <v>174</v>
      </c>
      <c r="E173" t="s">
        <v>175</v>
      </c>
      <c r="F173" t="s">
        <v>176</v>
      </c>
      <c r="G173">
        <v>0.5</v>
      </c>
      <c r="H173">
        <v>10</v>
      </c>
      <c r="I173" t="s">
        <v>177</v>
      </c>
      <c r="J173" t="s">
        <v>178</v>
      </c>
      <c r="K173" t="s">
        <v>179</v>
      </c>
      <c r="L173" t="s">
        <v>180</v>
      </c>
      <c r="M173">
        <v>7540</v>
      </c>
      <c r="N173">
        <v>5.4509283819628648E-2</v>
      </c>
      <c r="O173">
        <v>0.9072847682119205</v>
      </c>
      <c r="P173">
        <v>0.1028399849868635</v>
      </c>
      <c r="Q173">
        <v>21.93</v>
      </c>
      <c r="R173">
        <v>982</v>
      </c>
      <c r="S173">
        <v>982</v>
      </c>
      <c r="T173">
        <v>258488</v>
      </c>
      <c r="U173">
        <v>2035</v>
      </c>
      <c r="V173">
        <v>260523</v>
      </c>
      <c r="W173">
        <v>31</v>
      </c>
      <c r="X173">
        <v>258488</v>
      </c>
      <c r="Y173">
        <v>2035</v>
      </c>
      <c r="Z173">
        <v>260523</v>
      </c>
      <c r="AA173">
        <v>9828</v>
      </c>
      <c r="AB173">
        <v>9828</v>
      </c>
      <c r="AC173">
        <v>0</v>
      </c>
      <c r="AD173">
        <v>0</v>
      </c>
      <c r="AE173">
        <v>14.250999999999999</v>
      </c>
      <c r="AF173">
        <v>7.5350000000000001</v>
      </c>
      <c r="AG173">
        <v>3.7999999999999999E-2</v>
      </c>
      <c r="AH173">
        <v>0.10100000000000001</v>
      </c>
      <c r="AI173">
        <v>0.31900000000000001</v>
      </c>
      <c r="AJ173">
        <v>2.8000000000000001E-2</v>
      </c>
      <c r="AK173">
        <v>0</v>
      </c>
      <c r="AL173">
        <v>0</v>
      </c>
      <c r="AM173">
        <v>2E-3</v>
      </c>
      <c r="AN173">
        <v>6.6779999999999999</v>
      </c>
      <c r="AO173">
        <v>0.14699999999999999</v>
      </c>
      <c r="AP173">
        <v>0.10100000000000001</v>
      </c>
      <c r="AQ173">
        <v>0</v>
      </c>
      <c r="AR173">
        <v>0</v>
      </c>
      <c r="AS173">
        <v>0</v>
      </c>
      <c r="AT173" t="s">
        <v>243</v>
      </c>
      <c r="AU173" t="s">
        <v>243</v>
      </c>
      <c r="AV173" t="s">
        <v>549</v>
      </c>
    </row>
    <row r="174" spans="1:108" x14ac:dyDescent="0.2">
      <c r="A174" t="s">
        <v>560</v>
      </c>
      <c r="B174" t="s">
        <v>714</v>
      </c>
      <c r="C174" t="s">
        <v>242</v>
      </c>
      <c r="D174" t="s">
        <v>174</v>
      </c>
      <c r="E174" t="s">
        <v>175</v>
      </c>
      <c r="F174" t="s">
        <v>176</v>
      </c>
      <c r="G174">
        <v>0.5</v>
      </c>
      <c r="H174">
        <v>15</v>
      </c>
      <c r="I174" t="s">
        <v>177</v>
      </c>
      <c r="J174" t="s">
        <v>178</v>
      </c>
      <c r="K174" t="s">
        <v>179</v>
      </c>
      <c r="L174" t="s">
        <v>180</v>
      </c>
      <c r="M174">
        <v>6508</v>
      </c>
      <c r="N174">
        <v>6.2692071296865395E-2</v>
      </c>
      <c r="O174">
        <v>0.90066225165562919</v>
      </c>
      <c r="P174">
        <v>0.11722453670449649</v>
      </c>
      <c r="Q174">
        <v>21.44</v>
      </c>
      <c r="R174">
        <v>1474</v>
      </c>
      <c r="S174">
        <v>1474</v>
      </c>
      <c r="T174">
        <v>388252</v>
      </c>
      <c r="U174">
        <v>2948</v>
      </c>
      <c r="V174">
        <v>391200</v>
      </c>
      <c r="W174">
        <v>47</v>
      </c>
      <c r="X174">
        <v>388252</v>
      </c>
      <c r="Y174">
        <v>2948</v>
      </c>
      <c r="Z174">
        <v>391200</v>
      </c>
      <c r="AA174">
        <v>9828</v>
      </c>
      <c r="AB174">
        <v>9828</v>
      </c>
      <c r="AC174">
        <v>0</v>
      </c>
      <c r="AD174">
        <v>0</v>
      </c>
      <c r="AE174">
        <v>13.577999999999999</v>
      </c>
      <c r="AF174">
        <v>7.8049999999999997</v>
      </c>
      <c r="AG174">
        <v>2.5999999999999999E-2</v>
      </c>
      <c r="AH174">
        <v>2.9000000000000001E-2</v>
      </c>
      <c r="AI174">
        <v>0.30299999999999999</v>
      </c>
      <c r="AJ174">
        <v>2.5000000000000001E-2</v>
      </c>
      <c r="AK174">
        <v>0</v>
      </c>
      <c r="AL174">
        <v>0</v>
      </c>
      <c r="AM174">
        <v>2E-3</v>
      </c>
      <c r="AN174">
        <v>7.0510000000000002</v>
      </c>
      <c r="AO174">
        <v>5.5E-2</v>
      </c>
      <c r="AP174">
        <v>2.9000000000000001E-2</v>
      </c>
      <c r="AQ174">
        <v>0</v>
      </c>
      <c r="AR174">
        <v>0</v>
      </c>
      <c r="AS174">
        <v>0</v>
      </c>
      <c r="AT174" t="s">
        <v>243</v>
      </c>
      <c r="AU174" t="s">
        <v>243</v>
      </c>
      <c r="AV174" t="s">
        <v>549</v>
      </c>
    </row>
    <row r="175" spans="1:108" x14ac:dyDescent="0.2">
      <c r="A175" t="s">
        <v>560</v>
      </c>
      <c r="B175" t="s">
        <v>715</v>
      </c>
      <c r="C175" t="s">
        <v>242</v>
      </c>
      <c r="D175" t="s">
        <v>174</v>
      </c>
      <c r="E175" t="s">
        <v>175</v>
      </c>
      <c r="F175" t="s">
        <v>176</v>
      </c>
      <c r="G175">
        <v>0.5</v>
      </c>
      <c r="H175">
        <v>20</v>
      </c>
      <c r="I175" t="s">
        <v>177</v>
      </c>
      <c r="J175" t="s">
        <v>178</v>
      </c>
      <c r="K175" t="s">
        <v>179</v>
      </c>
      <c r="L175" t="s">
        <v>180</v>
      </c>
      <c r="M175">
        <v>6049</v>
      </c>
      <c r="N175">
        <v>6.6622582244999173E-2</v>
      </c>
      <c r="O175">
        <v>0.88962472406181015</v>
      </c>
      <c r="P175">
        <v>0.12396185788988</v>
      </c>
      <c r="Q175">
        <v>22.55</v>
      </c>
      <c r="R175">
        <v>1965</v>
      </c>
      <c r="S175">
        <v>1965</v>
      </c>
      <c r="T175">
        <v>516226</v>
      </c>
      <c r="U175">
        <v>4002</v>
      </c>
      <c r="V175">
        <v>520228</v>
      </c>
      <c r="W175">
        <v>62</v>
      </c>
      <c r="X175">
        <v>516226</v>
      </c>
      <c r="Y175">
        <v>4002</v>
      </c>
      <c r="Z175">
        <v>520228</v>
      </c>
      <c r="AA175">
        <v>9828</v>
      </c>
      <c r="AB175">
        <v>9828</v>
      </c>
      <c r="AC175">
        <v>0</v>
      </c>
      <c r="AD175">
        <v>0</v>
      </c>
      <c r="AE175">
        <v>13.955</v>
      </c>
      <c r="AF175">
        <v>8.4640000000000004</v>
      </c>
      <c r="AG175">
        <v>3.1E-2</v>
      </c>
      <c r="AH175">
        <v>9.6000000000000002E-2</v>
      </c>
      <c r="AI175">
        <v>0.30099999999999999</v>
      </c>
      <c r="AJ175">
        <v>2.1999999999999999E-2</v>
      </c>
      <c r="AK175">
        <v>0</v>
      </c>
      <c r="AL175">
        <v>0</v>
      </c>
      <c r="AM175">
        <v>2E-3</v>
      </c>
      <c r="AN175">
        <v>7.7060000000000004</v>
      </c>
      <c r="AO175">
        <v>4.5999999999999999E-2</v>
      </c>
      <c r="AP175">
        <v>9.6000000000000002E-2</v>
      </c>
      <c r="AQ175">
        <v>0</v>
      </c>
      <c r="AR175">
        <v>0</v>
      </c>
      <c r="AS175">
        <v>0</v>
      </c>
      <c r="AT175" t="s">
        <v>243</v>
      </c>
      <c r="AU175" t="s">
        <v>243</v>
      </c>
      <c r="AV175" t="s">
        <v>549</v>
      </c>
    </row>
    <row r="176" spans="1:108" x14ac:dyDescent="0.2">
      <c r="A176" t="s">
        <v>560</v>
      </c>
      <c r="B176" t="s">
        <v>716</v>
      </c>
      <c r="C176" t="s">
        <v>242</v>
      </c>
      <c r="D176" t="s">
        <v>174</v>
      </c>
      <c r="E176" t="s">
        <v>175</v>
      </c>
      <c r="F176" t="s">
        <v>176</v>
      </c>
      <c r="G176">
        <v>0.5</v>
      </c>
      <c r="H176">
        <v>25</v>
      </c>
      <c r="I176" t="s">
        <v>177</v>
      </c>
      <c r="J176" t="s">
        <v>178</v>
      </c>
      <c r="K176" t="s">
        <v>179</v>
      </c>
      <c r="L176" t="s">
        <v>180</v>
      </c>
      <c r="M176">
        <v>5509</v>
      </c>
      <c r="N176">
        <v>7.0248683971682699E-2</v>
      </c>
      <c r="O176">
        <v>0.85430463576158944</v>
      </c>
      <c r="P176">
        <v>0.12982220731298219</v>
      </c>
      <c r="Q176">
        <v>22.89</v>
      </c>
      <c r="R176">
        <v>2457</v>
      </c>
      <c r="S176">
        <v>2457</v>
      </c>
      <c r="T176">
        <v>647832</v>
      </c>
      <c r="U176">
        <v>4986</v>
      </c>
      <c r="V176">
        <v>652818</v>
      </c>
      <c r="W176">
        <v>77</v>
      </c>
      <c r="X176">
        <v>647832</v>
      </c>
      <c r="Y176">
        <v>4986</v>
      </c>
      <c r="Z176">
        <v>652818</v>
      </c>
      <c r="AA176">
        <v>9828</v>
      </c>
      <c r="AB176">
        <v>9828</v>
      </c>
      <c r="AC176">
        <v>0</v>
      </c>
      <c r="AD176">
        <v>0</v>
      </c>
      <c r="AE176">
        <v>13.967000000000001</v>
      </c>
      <c r="AF176">
        <v>8.8219999999999992</v>
      </c>
      <c r="AG176">
        <v>2.7E-2</v>
      </c>
      <c r="AH176">
        <v>7.6999999999999999E-2</v>
      </c>
      <c r="AI176">
        <v>0.27700000000000002</v>
      </c>
      <c r="AJ176">
        <v>0.02</v>
      </c>
      <c r="AK176">
        <v>0</v>
      </c>
      <c r="AL176">
        <v>0</v>
      </c>
      <c r="AM176">
        <v>3.0000000000000001E-3</v>
      </c>
      <c r="AN176">
        <v>8.1170000000000009</v>
      </c>
      <c r="AO176">
        <v>0.11700000000000001</v>
      </c>
      <c r="AP176">
        <v>7.6999999999999999E-2</v>
      </c>
      <c r="AQ176">
        <v>0</v>
      </c>
      <c r="AR176">
        <v>0</v>
      </c>
      <c r="AS176">
        <v>0</v>
      </c>
      <c r="AT176" t="s">
        <v>243</v>
      </c>
      <c r="AU176" t="s">
        <v>243</v>
      </c>
      <c r="AV176" t="s">
        <v>549</v>
      </c>
    </row>
    <row r="177" spans="1:108" x14ac:dyDescent="0.2">
      <c r="A177" t="s">
        <v>40</v>
      </c>
      <c r="B177" t="s">
        <v>717</v>
      </c>
      <c r="C177" t="s">
        <v>242</v>
      </c>
      <c r="D177" t="s">
        <v>174</v>
      </c>
      <c r="E177" t="s">
        <v>175</v>
      </c>
      <c r="F177" t="s">
        <v>176</v>
      </c>
      <c r="G177">
        <v>0.5</v>
      </c>
      <c r="H177">
        <v>5</v>
      </c>
      <c r="I177" t="s">
        <v>177</v>
      </c>
      <c r="J177" t="s">
        <v>178</v>
      </c>
      <c r="K177" t="s">
        <v>179</v>
      </c>
      <c r="L177" t="s">
        <v>180</v>
      </c>
      <c r="M177">
        <v>1</v>
      </c>
      <c r="N177">
        <v>0</v>
      </c>
      <c r="O177">
        <v>0</v>
      </c>
      <c r="P177">
        <v>0</v>
      </c>
      <c r="Q177">
        <v>9.1999999999999993</v>
      </c>
      <c r="R177">
        <v>31</v>
      </c>
      <c r="S177">
        <v>31</v>
      </c>
      <c r="T177">
        <v>51398</v>
      </c>
      <c r="U177">
        <v>62</v>
      </c>
      <c r="V177">
        <v>51460</v>
      </c>
      <c r="W177">
        <v>31</v>
      </c>
      <c r="X177">
        <v>51398</v>
      </c>
      <c r="Y177">
        <v>62</v>
      </c>
      <c r="Z177">
        <v>51460</v>
      </c>
      <c r="AA177">
        <v>638</v>
      </c>
      <c r="AB177">
        <v>638</v>
      </c>
      <c r="AC177">
        <v>0</v>
      </c>
      <c r="AD177">
        <v>0</v>
      </c>
      <c r="AE177">
        <v>8.9999999999999993E-3</v>
      </c>
      <c r="AF177">
        <v>9.1760000000000002</v>
      </c>
      <c r="AG177">
        <v>0.01</v>
      </c>
      <c r="AH177">
        <v>6.0000000000000001E-3</v>
      </c>
      <c r="AI177">
        <v>0.36099999999999999</v>
      </c>
      <c r="AJ177">
        <v>1.476</v>
      </c>
      <c r="AK177">
        <v>0</v>
      </c>
      <c r="AL177">
        <v>0</v>
      </c>
      <c r="AM177">
        <v>1E-3</v>
      </c>
      <c r="AN177">
        <v>6.9660000000000002</v>
      </c>
      <c r="AO177">
        <v>0.109</v>
      </c>
      <c r="AP177">
        <v>6.0000000000000001E-3</v>
      </c>
      <c r="AQ177">
        <v>0</v>
      </c>
      <c r="AR177">
        <v>0</v>
      </c>
      <c r="AS177">
        <v>0</v>
      </c>
      <c r="AT177" t="s">
        <v>243</v>
      </c>
      <c r="AU177" t="s">
        <v>243</v>
      </c>
      <c r="AV177" t="s">
        <v>549</v>
      </c>
    </row>
    <row r="178" spans="1:108" x14ac:dyDescent="0.2">
      <c r="A178" t="s">
        <v>40</v>
      </c>
      <c r="B178" t="s">
        <v>718</v>
      </c>
      <c r="C178" t="s">
        <v>242</v>
      </c>
      <c r="D178" t="s">
        <v>174</v>
      </c>
      <c r="E178" t="s">
        <v>175</v>
      </c>
      <c r="F178" t="s">
        <v>176</v>
      </c>
      <c r="G178">
        <v>0.5</v>
      </c>
      <c r="H178">
        <v>10</v>
      </c>
      <c r="I178" t="s">
        <v>177</v>
      </c>
      <c r="J178" t="s">
        <v>178</v>
      </c>
      <c r="K178" t="s">
        <v>179</v>
      </c>
      <c r="L178" t="s">
        <v>180</v>
      </c>
      <c r="M178">
        <v>381</v>
      </c>
      <c r="N178">
        <v>0.8923884514435696</v>
      </c>
      <c r="O178">
        <v>0.99706744868035191</v>
      </c>
      <c r="P178">
        <v>0.94182825484764554</v>
      </c>
      <c r="Q178">
        <v>11.96</v>
      </c>
      <c r="R178">
        <v>63</v>
      </c>
      <c r="S178">
        <v>63</v>
      </c>
      <c r="T178">
        <v>108917</v>
      </c>
      <c r="U178">
        <v>126</v>
      </c>
      <c r="V178">
        <v>109043</v>
      </c>
      <c r="W178">
        <v>63</v>
      </c>
      <c r="X178">
        <v>108917</v>
      </c>
      <c r="Y178">
        <v>126</v>
      </c>
      <c r="Z178">
        <v>109043</v>
      </c>
      <c r="AA178">
        <v>638</v>
      </c>
      <c r="AB178">
        <v>638</v>
      </c>
      <c r="AC178">
        <v>0</v>
      </c>
      <c r="AD178">
        <v>0</v>
      </c>
      <c r="AE178">
        <v>0</v>
      </c>
      <c r="AF178">
        <v>11.941000000000001</v>
      </c>
      <c r="AG178">
        <v>1.2E-2</v>
      </c>
      <c r="AH178">
        <v>4.0000000000000001E-3</v>
      </c>
      <c r="AI178">
        <v>0.19600000000000001</v>
      </c>
      <c r="AJ178">
        <v>0.01</v>
      </c>
      <c r="AK178">
        <v>0</v>
      </c>
      <c r="AL178">
        <v>0</v>
      </c>
      <c r="AM178">
        <v>2E-3</v>
      </c>
      <c r="AN178">
        <v>11.384</v>
      </c>
      <c r="AO178">
        <v>0.10100000000000001</v>
      </c>
      <c r="AP178">
        <v>4.0000000000000001E-3</v>
      </c>
      <c r="AQ178">
        <v>0</v>
      </c>
      <c r="AR178">
        <v>0</v>
      </c>
      <c r="AS178">
        <v>0</v>
      </c>
      <c r="AT178" t="s">
        <v>243</v>
      </c>
      <c r="AU178" t="s">
        <v>243</v>
      </c>
      <c r="AV178" t="s">
        <v>549</v>
      </c>
    </row>
    <row r="179" spans="1:108" x14ac:dyDescent="0.2">
      <c r="A179" t="s">
        <v>40</v>
      </c>
      <c r="B179" t="s">
        <v>719</v>
      </c>
      <c r="C179" t="s">
        <v>242</v>
      </c>
      <c r="D179" t="s">
        <v>174</v>
      </c>
      <c r="E179" t="s">
        <v>175</v>
      </c>
      <c r="F179" t="s">
        <v>176</v>
      </c>
      <c r="G179">
        <v>0.5</v>
      </c>
      <c r="H179">
        <v>15</v>
      </c>
      <c r="I179" t="s">
        <v>177</v>
      </c>
      <c r="J179" t="s">
        <v>178</v>
      </c>
      <c r="K179" t="s">
        <v>179</v>
      </c>
      <c r="L179" t="s">
        <v>180</v>
      </c>
      <c r="M179">
        <v>379</v>
      </c>
      <c r="N179">
        <v>0.89973614775725597</v>
      </c>
      <c r="O179">
        <v>1</v>
      </c>
      <c r="P179">
        <v>0.94722222222222219</v>
      </c>
      <c r="Q179">
        <v>17.190000000000001</v>
      </c>
      <c r="R179">
        <v>95</v>
      </c>
      <c r="S179">
        <v>95</v>
      </c>
      <c r="T179">
        <v>163998</v>
      </c>
      <c r="U179">
        <v>190</v>
      </c>
      <c r="V179">
        <v>164188</v>
      </c>
      <c r="W179">
        <v>95</v>
      </c>
      <c r="X179">
        <v>163998</v>
      </c>
      <c r="Y179">
        <v>190</v>
      </c>
      <c r="Z179">
        <v>164188</v>
      </c>
      <c r="AA179">
        <v>638</v>
      </c>
      <c r="AB179">
        <v>638</v>
      </c>
      <c r="AC179">
        <v>0</v>
      </c>
      <c r="AD179">
        <v>0</v>
      </c>
      <c r="AE179">
        <v>0</v>
      </c>
      <c r="AF179">
        <v>17.146000000000001</v>
      </c>
      <c r="AG179">
        <v>0.04</v>
      </c>
      <c r="AH179">
        <v>2E-3</v>
      </c>
      <c r="AI179">
        <v>0.20100000000000001</v>
      </c>
      <c r="AJ179">
        <v>7.0000000000000001E-3</v>
      </c>
      <c r="AK179">
        <v>0</v>
      </c>
      <c r="AL179">
        <v>0</v>
      </c>
      <c r="AM179">
        <v>0</v>
      </c>
      <c r="AN179">
        <v>16.632000000000001</v>
      </c>
      <c r="AO179">
        <v>2.5999999999999999E-2</v>
      </c>
      <c r="AP179">
        <v>2E-3</v>
      </c>
      <c r="AQ179">
        <v>0</v>
      </c>
      <c r="AR179">
        <v>0</v>
      </c>
      <c r="AS179">
        <v>0</v>
      </c>
      <c r="AT179" t="s">
        <v>243</v>
      </c>
      <c r="AU179" t="s">
        <v>243</v>
      </c>
      <c r="AV179" t="s">
        <v>549</v>
      </c>
    </row>
    <row r="180" spans="1:108" x14ac:dyDescent="0.2">
      <c r="A180" t="s">
        <v>40</v>
      </c>
      <c r="B180" t="s">
        <v>720</v>
      </c>
      <c r="C180" t="s">
        <v>242</v>
      </c>
      <c r="D180" t="s">
        <v>174</v>
      </c>
      <c r="E180" t="s">
        <v>175</v>
      </c>
      <c r="F180" t="s">
        <v>176</v>
      </c>
      <c r="G180">
        <v>0.5</v>
      </c>
      <c r="H180">
        <v>20</v>
      </c>
      <c r="I180" t="s">
        <v>177</v>
      </c>
      <c r="J180" t="s">
        <v>178</v>
      </c>
      <c r="K180" t="s">
        <v>179</v>
      </c>
      <c r="L180" t="s">
        <v>180</v>
      </c>
      <c r="M180">
        <v>371</v>
      </c>
      <c r="N180">
        <v>0.91913746630727766</v>
      </c>
      <c r="O180">
        <v>1</v>
      </c>
      <c r="P180">
        <v>0.9578651685393258</v>
      </c>
      <c r="Q180">
        <v>21.33</v>
      </c>
      <c r="R180">
        <v>127</v>
      </c>
      <c r="S180">
        <v>127</v>
      </c>
      <c r="T180">
        <v>210796</v>
      </c>
      <c r="U180">
        <v>254</v>
      </c>
      <c r="V180">
        <v>211050</v>
      </c>
      <c r="W180">
        <v>127</v>
      </c>
      <c r="X180">
        <v>210796</v>
      </c>
      <c r="Y180">
        <v>254</v>
      </c>
      <c r="Z180">
        <v>211050</v>
      </c>
      <c r="AA180">
        <v>638</v>
      </c>
      <c r="AB180">
        <v>638</v>
      </c>
      <c r="AC180">
        <v>0</v>
      </c>
      <c r="AD180">
        <v>0</v>
      </c>
      <c r="AE180">
        <v>0</v>
      </c>
      <c r="AF180">
        <v>21.298999999999999</v>
      </c>
      <c r="AG180">
        <v>2.3E-2</v>
      </c>
      <c r="AH180">
        <v>3.0000000000000001E-3</v>
      </c>
      <c r="AI180">
        <v>0.19</v>
      </c>
      <c r="AJ180">
        <v>0.01</v>
      </c>
      <c r="AK180">
        <v>0</v>
      </c>
      <c r="AL180">
        <v>0</v>
      </c>
      <c r="AM180">
        <v>0</v>
      </c>
      <c r="AN180">
        <v>20.786000000000001</v>
      </c>
      <c r="AO180">
        <v>4.2000000000000003E-2</v>
      </c>
      <c r="AP180">
        <v>3.0000000000000001E-3</v>
      </c>
      <c r="AQ180">
        <v>0</v>
      </c>
      <c r="AR180">
        <v>0</v>
      </c>
      <c r="AS180">
        <v>0</v>
      </c>
      <c r="AT180" t="s">
        <v>243</v>
      </c>
      <c r="AU180" t="s">
        <v>243</v>
      </c>
      <c r="AV180" t="s">
        <v>549</v>
      </c>
    </row>
    <row r="181" spans="1:108" x14ac:dyDescent="0.2">
      <c r="A181" t="s">
        <v>40</v>
      </c>
      <c r="B181" t="s">
        <v>721</v>
      </c>
      <c r="C181" t="s">
        <v>242</v>
      </c>
      <c r="D181" t="s">
        <v>174</v>
      </c>
      <c r="E181" t="s">
        <v>175</v>
      </c>
      <c r="F181" t="s">
        <v>176</v>
      </c>
      <c r="G181">
        <v>0.5</v>
      </c>
      <c r="H181">
        <v>25</v>
      </c>
      <c r="I181" t="s">
        <v>177</v>
      </c>
      <c r="J181" t="s">
        <v>178</v>
      </c>
      <c r="K181" t="s">
        <v>179</v>
      </c>
      <c r="L181" t="s">
        <v>180</v>
      </c>
      <c r="M181">
        <v>369</v>
      </c>
      <c r="N181">
        <v>0.92411924119241196</v>
      </c>
      <c r="O181">
        <v>1</v>
      </c>
      <c r="P181">
        <v>0.96056338028169019</v>
      </c>
      <c r="Q181">
        <v>26.24</v>
      </c>
      <c r="R181">
        <v>159</v>
      </c>
      <c r="S181">
        <v>159</v>
      </c>
      <c r="T181">
        <v>256562</v>
      </c>
      <c r="U181">
        <v>318</v>
      </c>
      <c r="V181">
        <v>256880</v>
      </c>
      <c r="W181">
        <v>159</v>
      </c>
      <c r="X181">
        <v>256562</v>
      </c>
      <c r="Y181">
        <v>318</v>
      </c>
      <c r="Z181">
        <v>256880</v>
      </c>
      <c r="AA181">
        <v>638</v>
      </c>
      <c r="AB181">
        <v>638</v>
      </c>
      <c r="AC181">
        <v>0</v>
      </c>
      <c r="AD181">
        <v>0</v>
      </c>
      <c r="AE181">
        <v>0</v>
      </c>
      <c r="AF181">
        <v>26.227</v>
      </c>
      <c r="AG181">
        <v>0.01</v>
      </c>
      <c r="AH181">
        <v>3.0000000000000001E-3</v>
      </c>
      <c r="AI181">
        <v>0.155</v>
      </c>
      <c r="AJ181">
        <v>1.0999999999999999E-2</v>
      </c>
      <c r="AK181">
        <v>0</v>
      </c>
      <c r="AL181">
        <v>0</v>
      </c>
      <c r="AM181">
        <v>0</v>
      </c>
      <c r="AN181">
        <v>25.77</v>
      </c>
      <c r="AO181">
        <v>3.4000000000000002E-2</v>
      </c>
      <c r="AP181">
        <v>3.0000000000000001E-3</v>
      </c>
      <c r="AQ181">
        <v>0</v>
      </c>
      <c r="AR181">
        <v>0</v>
      </c>
      <c r="AS181">
        <v>0</v>
      </c>
      <c r="AT181" t="s">
        <v>243</v>
      </c>
      <c r="AU181" t="s">
        <v>243</v>
      </c>
      <c r="AV181" t="s">
        <v>549</v>
      </c>
    </row>
    <row r="182" spans="1:108" x14ac:dyDescent="0.2">
      <c r="A182" t="s">
        <v>41</v>
      </c>
      <c r="B182" t="s">
        <v>247</v>
      </c>
      <c r="C182" t="s">
        <v>242</v>
      </c>
      <c r="D182" t="s">
        <v>174</v>
      </c>
      <c r="E182" t="s">
        <v>175</v>
      </c>
      <c r="F182" t="s">
        <v>176</v>
      </c>
      <c r="G182">
        <v>0.5</v>
      </c>
      <c r="H182">
        <v>5</v>
      </c>
      <c r="I182" t="s">
        <v>177</v>
      </c>
      <c r="J182" t="s">
        <v>178</v>
      </c>
      <c r="K182" t="s">
        <v>179</v>
      </c>
      <c r="L182" t="s">
        <v>180</v>
      </c>
      <c r="M182">
        <v>7868</v>
      </c>
      <c r="N182">
        <v>0.9812270544230417</v>
      </c>
      <c r="O182">
        <v>0.9812270544230417</v>
      </c>
      <c r="P182">
        <v>0.9812270544230417</v>
      </c>
      <c r="Q182">
        <v>21.89</v>
      </c>
      <c r="R182">
        <v>491</v>
      </c>
      <c r="S182">
        <v>491</v>
      </c>
      <c r="T182">
        <v>130473</v>
      </c>
      <c r="U182">
        <v>982</v>
      </c>
      <c r="V182">
        <v>131455</v>
      </c>
      <c r="W182">
        <v>16</v>
      </c>
      <c r="X182">
        <v>130473</v>
      </c>
      <c r="Y182">
        <v>982</v>
      </c>
      <c r="Z182">
        <v>131455</v>
      </c>
      <c r="AA182">
        <v>9828</v>
      </c>
      <c r="AB182">
        <v>9828</v>
      </c>
      <c r="AC182">
        <v>0</v>
      </c>
      <c r="AD182">
        <v>0</v>
      </c>
      <c r="AE182">
        <v>15.08</v>
      </c>
      <c r="AF182">
        <v>6.7679999999999998</v>
      </c>
      <c r="AG182">
        <v>1.2E-2</v>
      </c>
      <c r="AH182">
        <v>2.5999999999999999E-2</v>
      </c>
      <c r="AI182">
        <v>0.316</v>
      </c>
      <c r="AJ182">
        <v>3.5999999999999997E-2</v>
      </c>
      <c r="AK182">
        <v>0</v>
      </c>
      <c r="AL182">
        <v>0</v>
      </c>
      <c r="AM182">
        <v>1E-3</v>
      </c>
      <c r="AN182">
        <v>6.1479999999999997</v>
      </c>
      <c r="AO182">
        <v>4.3999999999999997E-2</v>
      </c>
      <c r="AP182">
        <v>2.5999999999999999E-2</v>
      </c>
      <c r="AQ182">
        <v>0</v>
      </c>
      <c r="AR182">
        <v>0</v>
      </c>
      <c r="AS182">
        <v>0</v>
      </c>
      <c r="AT182" t="s">
        <v>243</v>
      </c>
      <c r="AU182" t="s">
        <v>243</v>
      </c>
      <c r="AV182" t="s">
        <v>549</v>
      </c>
      <c r="CY182">
        <v>7868</v>
      </c>
      <c r="CZ182">
        <v>13.47470767666505</v>
      </c>
      <c r="DA182">
        <v>13.73250728862968</v>
      </c>
      <c r="DB182">
        <v>0.25779961196462858</v>
      </c>
      <c r="DC182">
        <v>1.8772945576958341E-2</v>
      </c>
      <c r="DD182">
        <v>1.877294557695834</v>
      </c>
    </row>
    <row r="183" spans="1:108" x14ac:dyDescent="0.2">
      <c r="A183" t="s">
        <v>41</v>
      </c>
      <c r="B183" t="s">
        <v>252</v>
      </c>
      <c r="C183" t="s">
        <v>242</v>
      </c>
      <c r="D183" t="s">
        <v>174</v>
      </c>
      <c r="E183" t="s">
        <v>175</v>
      </c>
      <c r="F183" t="s">
        <v>176</v>
      </c>
      <c r="G183">
        <v>0.5</v>
      </c>
      <c r="H183">
        <v>10</v>
      </c>
      <c r="I183" t="s">
        <v>177</v>
      </c>
      <c r="J183" t="s">
        <v>178</v>
      </c>
      <c r="K183" t="s">
        <v>179</v>
      </c>
      <c r="L183" t="s">
        <v>180</v>
      </c>
      <c r="M183">
        <v>4180</v>
      </c>
      <c r="N183">
        <v>0.98472383727943702</v>
      </c>
      <c r="O183">
        <v>0.98472383727943702</v>
      </c>
      <c r="P183">
        <v>0.98472383727943702</v>
      </c>
      <c r="Q183">
        <v>20.61</v>
      </c>
      <c r="R183">
        <v>982</v>
      </c>
      <c r="S183">
        <v>982</v>
      </c>
      <c r="T183">
        <v>257579</v>
      </c>
      <c r="U183">
        <v>1964</v>
      </c>
      <c r="V183">
        <v>259543</v>
      </c>
      <c r="W183">
        <v>31</v>
      </c>
      <c r="X183">
        <v>257579</v>
      </c>
      <c r="Y183">
        <v>1964</v>
      </c>
      <c r="Z183">
        <v>259543</v>
      </c>
      <c r="AA183">
        <v>9828</v>
      </c>
      <c r="AB183">
        <v>9828</v>
      </c>
      <c r="AC183">
        <v>0</v>
      </c>
      <c r="AD183">
        <v>0</v>
      </c>
      <c r="AE183">
        <v>13.744</v>
      </c>
      <c r="AF183">
        <v>6.8230000000000004</v>
      </c>
      <c r="AG183">
        <v>1.4999999999999999E-2</v>
      </c>
      <c r="AH183">
        <v>2.5999999999999999E-2</v>
      </c>
      <c r="AI183">
        <v>0.19600000000000001</v>
      </c>
      <c r="AJ183">
        <v>2.3E-2</v>
      </c>
      <c r="AK183">
        <v>0</v>
      </c>
      <c r="AL183">
        <v>0</v>
      </c>
      <c r="AM183">
        <v>1E-3</v>
      </c>
      <c r="AN183">
        <v>6.3550000000000004</v>
      </c>
      <c r="AO183">
        <v>3.2000000000000001E-2</v>
      </c>
      <c r="AP183">
        <v>2.5999999999999999E-2</v>
      </c>
      <c r="AQ183">
        <v>0</v>
      </c>
      <c r="AR183">
        <v>0</v>
      </c>
      <c r="AS183">
        <v>0</v>
      </c>
      <c r="AT183" t="s">
        <v>243</v>
      </c>
      <c r="AU183" t="s">
        <v>243</v>
      </c>
      <c r="AV183" t="s">
        <v>549</v>
      </c>
      <c r="CY183">
        <v>4180</v>
      </c>
      <c r="CZ183">
        <v>13.52272727272725</v>
      </c>
      <c r="DA183">
        <v>13.73250728862968</v>
      </c>
      <c r="DB183">
        <v>0.20978001590242459</v>
      </c>
      <c r="DC183">
        <v>1.527616272056302E-2</v>
      </c>
      <c r="DD183">
        <v>1.527616272056302</v>
      </c>
    </row>
    <row r="184" spans="1:108" x14ac:dyDescent="0.2">
      <c r="A184" t="s">
        <v>41</v>
      </c>
      <c r="B184" t="s">
        <v>722</v>
      </c>
      <c r="C184" t="s">
        <v>242</v>
      </c>
      <c r="D184" t="s">
        <v>174</v>
      </c>
      <c r="E184" t="s">
        <v>175</v>
      </c>
      <c r="F184" t="s">
        <v>176</v>
      </c>
      <c r="G184">
        <v>0.5</v>
      </c>
      <c r="H184">
        <v>15</v>
      </c>
      <c r="I184" t="s">
        <v>177</v>
      </c>
      <c r="J184" t="s">
        <v>178</v>
      </c>
      <c r="K184" t="s">
        <v>179</v>
      </c>
      <c r="L184" t="s">
        <v>180</v>
      </c>
      <c r="M184">
        <v>3913</v>
      </c>
      <c r="N184">
        <v>0.97820239213021021</v>
      </c>
      <c r="O184">
        <v>0.97820239213021021</v>
      </c>
      <c r="P184">
        <v>0.97820239213021021</v>
      </c>
      <c r="Q184">
        <v>22.07</v>
      </c>
      <c r="R184">
        <v>1474</v>
      </c>
      <c r="S184">
        <v>1474</v>
      </c>
      <c r="T184">
        <v>390817</v>
      </c>
      <c r="U184">
        <v>2948</v>
      </c>
      <c r="V184">
        <v>393765</v>
      </c>
      <c r="W184">
        <v>47</v>
      </c>
      <c r="X184">
        <v>390817</v>
      </c>
      <c r="Y184">
        <v>2948</v>
      </c>
      <c r="Z184">
        <v>393765</v>
      </c>
      <c r="AA184">
        <v>9828</v>
      </c>
      <c r="AB184">
        <v>9828</v>
      </c>
      <c r="AC184">
        <v>0</v>
      </c>
      <c r="AD184">
        <v>0</v>
      </c>
      <c r="AE184">
        <v>14.26</v>
      </c>
      <c r="AF184">
        <v>7.7389999999999999</v>
      </c>
      <c r="AG184">
        <v>1.6E-2</v>
      </c>
      <c r="AH184">
        <v>5.1999999999999998E-2</v>
      </c>
      <c r="AI184">
        <v>0.224</v>
      </c>
      <c r="AJ184">
        <v>2.1999999999999999E-2</v>
      </c>
      <c r="AK184">
        <v>0</v>
      </c>
      <c r="AL184">
        <v>0</v>
      </c>
      <c r="AM184">
        <v>2E-3</v>
      </c>
      <c r="AN184">
        <v>7.1680000000000001</v>
      </c>
      <c r="AO184">
        <v>5.6000000000000001E-2</v>
      </c>
      <c r="AP184">
        <v>5.1999999999999998E-2</v>
      </c>
      <c r="AQ184">
        <v>0</v>
      </c>
      <c r="AR184">
        <v>0</v>
      </c>
      <c r="AS184">
        <v>0</v>
      </c>
      <c r="AT184" t="s">
        <v>243</v>
      </c>
      <c r="AU184" t="s">
        <v>243</v>
      </c>
      <c r="AV184" t="s">
        <v>549</v>
      </c>
      <c r="CY184">
        <v>3913</v>
      </c>
      <c r="CZ184">
        <v>13.4331714796831</v>
      </c>
      <c r="DA184">
        <v>13.73250728862968</v>
      </c>
      <c r="DB184">
        <v>0.29933580894658007</v>
      </c>
      <c r="DC184">
        <v>2.1797607869789799E-2</v>
      </c>
      <c r="DD184">
        <v>2.1797607869789801</v>
      </c>
    </row>
    <row r="185" spans="1:108" x14ac:dyDescent="0.2">
      <c r="A185" t="s">
        <v>41</v>
      </c>
      <c r="B185" t="s">
        <v>723</v>
      </c>
      <c r="C185" t="s">
        <v>242</v>
      </c>
      <c r="D185" t="s">
        <v>174</v>
      </c>
      <c r="E185" t="s">
        <v>175</v>
      </c>
      <c r="F185" t="s">
        <v>176</v>
      </c>
      <c r="G185">
        <v>0.5</v>
      </c>
      <c r="H185">
        <v>20</v>
      </c>
      <c r="I185" t="s">
        <v>177</v>
      </c>
      <c r="J185" t="s">
        <v>178</v>
      </c>
      <c r="K185" t="s">
        <v>179</v>
      </c>
      <c r="L185" t="s">
        <v>180</v>
      </c>
      <c r="M185">
        <v>4164</v>
      </c>
      <c r="N185">
        <v>0.98020081188036301</v>
      </c>
      <c r="O185">
        <v>0.98020081188036301</v>
      </c>
      <c r="P185">
        <v>0.98020081188036301</v>
      </c>
      <c r="Q185">
        <v>22.31</v>
      </c>
      <c r="R185">
        <v>1965</v>
      </c>
      <c r="S185">
        <v>1965</v>
      </c>
      <c r="T185">
        <v>522204</v>
      </c>
      <c r="U185">
        <v>3930</v>
      </c>
      <c r="V185">
        <v>526134</v>
      </c>
      <c r="W185">
        <v>62</v>
      </c>
      <c r="X185">
        <v>522204</v>
      </c>
      <c r="Y185">
        <v>3930</v>
      </c>
      <c r="Z185">
        <v>526134</v>
      </c>
      <c r="AA185">
        <v>9828</v>
      </c>
      <c r="AB185">
        <v>9828</v>
      </c>
      <c r="AC185">
        <v>0</v>
      </c>
      <c r="AD185">
        <v>0</v>
      </c>
      <c r="AE185">
        <v>13.912000000000001</v>
      </c>
      <c r="AF185">
        <v>8.3550000000000004</v>
      </c>
      <c r="AG185">
        <v>0.02</v>
      </c>
      <c r="AH185">
        <v>2.5999999999999999E-2</v>
      </c>
      <c r="AI185">
        <v>0.17499999999999999</v>
      </c>
      <c r="AJ185">
        <v>2.8000000000000001E-2</v>
      </c>
      <c r="AK185">
        <v>0</v>
      </c>
      <c r="AL185">
        <v>0</v>
      </c>
      <c r="AM185">
        <v>2E-3</v>
      </c>
      <c r="AN185">
        <v>7.8220000000000001</v>
      </c>
      <c r="AO185">
        <v>4.8000000000000001E-2</v>
      </c>
      <c r="AP185">
        <v>2.5999999999999999E-2</v>
      </c>
      <c r="AQ185">
        <v>0</v>
      </c>
      <c r="AR185">
        <v>0</v>
      </c>
      <c r="AS185">
        <v>0</v>
      </c>
      <c r="AT185" t="s">
        <v>243</v>
      </c>
      <c r="AU185" t="s">
        <v>243</v>
      </c>
      <c r="AV185" t="s">
        <v>549</v>
      </c>
      <c r="CY185">
        <v>4164</v>
      </c>
      <c r="CZ185">
        <v>13.46061479346781</v>
      </c>
      <c r="DA185">
        <v>13.73250728862968</v>
      </c>
      <c r="DB185">
        <v>0.27189249516186459</v>
      </c>
      <c r="DC185">
        <v>1.9799188119636959E-2</v>
      </c>
      <c r="DD185">
        <v>1.9799188119636959</v>
      </c>
    </row>
    <row r="186" spans="1:108" x14ac:dyDescent="0.2">
      <c r="A186" t="s">
        <v>41</v>
      </c>
      <c r="B186" t="s">
        <v>724</v>
      </c>
      <c r="C186" t="s">
        <v>242</v>
      </c>
      <c r="D186" t="s">
        <v>174</v>
      </c>
      <c r="E186" t="s">
        <v>175</v>
      </c>
      <c r="F186" t="s">
        <v>176</v>
      </c>
      <c r="G186">
        <v>0.5</v>
      </c>
      <c r="H186">
        <v>25</v>
      </c>
      <c r="I186" t="s">
        <v>177</v>
      </c>
      <c r="J186" t="s">
        <v>178</v>
      </c>
      <c r="K186" t="s">
        <v>179</v>
      </c>
      <c r="L186" t="s">
        <v>180</v>
      </c>
      <c r="M186">
        <v>3051</v>
      </c>
      <c r="N186">
        <v>0.97167208114008863</v>
      </c>
      <c r="O186">
        <v>0.97167208114008863</v>
      </c>
      <c r="P186">
        <v>0.97167208114008863</v>
      </c>
      <c r="Q186">
        <v>22.6</v>
      </c>
      <c r="R186">
        <v>2457</v>
      </c>
      <c r="S186">
        <v>2457</v>
      </c>
      <c r="T186">
        <v>650858</v>
      </c>
      <c r="U186">
        <v>4914</v>
      </c>
      <c r="V186">
        <v>655772</v>
      </c>
      <c r="W186">
        <v>77</v>
      </c>
      <c r="X186">
        <v>650858</v>
      </c>
      <c r="Y186">
        <v>4914</v>
      </c>
      <c r="Z186">
        <v>655772</v>
      </c>
      <c r="AA186">
        <v>9828</v>
      </c>
      <c r="AB186">
        <v>9828</v>
      </c>
      <c r="AC186">
        <v>0</v>
      </c>
      <c r="AD186">
        <v>0</v>
      </c>
      <c r="AE186">
        <v>14.340999999999999</v>
      </c>
      <c r="AF186">
        <v>8.1929999999999996</v>
      </c>
      <c r="AG186">
        <v>2.5000000000000001E-2</v>
      </c>
      <c r="AH186">
        <v>3.5999999999999997E-2</v>
      </c>
      <c r="AI186">
        <v>0.21299999999999999</v>
      </c>
      <c r="AJ186">
        <v>2.3E-2</v>
      </c>
      <c r="AK186">
        <v>0</v>
      </c>
      <c r="AL186">
        <v>0</v>
      </c>
      <c r="AM186">
        <v>6.0000000000000001E-3</v>
      </c>
      <c r="AN186">
        <v>7.6070000000000002</v>
      </c>
      <c r="AO186">
        <v>7.0000000000000007E-2</v>
      </c>
      <c r="AP186">
        <v>3.5999999999999997E-2</v>
      </c>
      <c r="AQ186">
        <v>0</v>
      </c>
      <c r="AR186">
        <v>0</v>
      </c>
      <c r="AS186">
        <v>0</v>
      </c>
      <c r="AT186" t="s">
        <v>243</v>
      </c>
      <c r="AU186" t="s">
        <v>243</v>
      </c>
      <c r="AV186" t="s">
        <v>549</v>
      </c>
      <c r="CY186">
        <v>3051</v>
      </c>
      <c r="CZ186">
        <v>13.34349393641423</v>
      </c>
      <c r="DA186">
        <v>13.73250728862968</v>
      </c>
      <c r="DB186">
        <v>0.38901335221544292</v>
      </c>
      <c r="DC186">
        <v>2.8327918859911361E-2</v>
      </c>
      <c r="DD186">
        <v>2.8327918859911358</v>
      </c>
    </row>
    <row r="187" spans="1:108" x14ac:dyDescent="0.2">
      <c r="A187" t="s">
        <v>42</v>
      </c>
      <c r="B187" t="s">
        <v>725</v>
      </c>
      <c r="C187" t="s">
        <v>242</v>
      </c>
      <c r="D187" t="s">
        <v>174</v>
      </c>
      <c r="E187" t="s">
        <v>175</v>
      </c>
      <c r="F187" t="s">
        <v>176</v>
      </c>
      <c r="G187">
        <v>0.5</v>
      </c>
      <c r="H187">
        <v>5</v>
      </c>
      <c r="I187" t="s">
        <v>177</v>
      </c>
      <c r="J187" t="s">
        <v>178</v>
      </c>
      <c r="K187" t="s">
        <v>179</v>
      </c>
      <c r="L187" t="s">
        <v>180</v>
      </c>
      <c r="M187">
        <v>160</v>
      </c>
      <c r="N187">
        <v>0.14374999999999999</v>
      </c>
      <c r="O187">
        <v>0.1411042944785276</v>
      </c>
      <c r="P187">
        <v>0.1424148606811145</v>
      </c>
      <c r="Q187">
        <v>20.61</v>
      </c>
      <c r="R187">
        <v>94</v>
      </c>
      <c r="S187">
        <v>94</v>
      </c>
      <c r="T187">
        <v>145862</v>
      </c>
      <c r="U187">
        <v>188</v>
      </c>
      <c r="V187">
        <v>146050</v>
      </c>
      <c r="W187">
        <v>94</v>
      </c>
      <c r="X187">
        <v>145862</v>
      </c>
      <c r="Y187">
        <v>188</v>
      </c>
      <c r="Z187">
        <v>146050</v>
      </c>
      <c r="AA187">
        <v>1880</v>
      </c>
      <c r="AB187">
        <v>1880</v>
      </c>
      <c r="AC187">
        <v>0</v>
      </c>
      <c r="AD187">
        <v>0</v>
      </c>
      <c r="AE187">
        <v>1.4999999999999999E-2</v>
      </c>
      <c r="AF187">
        <v>20.577000000000002</v>
      </c>
      <c r="AG187">
        <v>1.4E-2</v>
      </c>
      <c r="AH187">
        <v>4.0000000000000001E-3</v>
      </c>
      <c r="AI187">
        <v>0.20100000000000001</v>
      </c>
      <c r="AJ187">
        <v>1.5429999999999999</v>
      </c>
      <c r="AK187">
        <v>0</v>
      </c>
      <c r="AL187">
        <v>0</v>
      </c>
      <c r="AM187">
        <v>0</v>
      </c>
      <c r="AN187">
        <v>18.552</v>
      </c>
      <c r="AO187">
        <v>0.10199999999999999</v>
      </c>
      <c r="AP187">
        <v>4.0000000000000001E-3</v>
      </c>
      <c r="AQ187">
        <v>0</v>
      </c>
      <c r="AR187">
        <v>0</v>
      </c>
      <c r="AS187">
        <v>0</v>
      </c>
      <c r="AT187" t="s">
        <v>243</v>
      </c>
      <c r="AU187" t="s">
        <v>243</v>
      </c>
      <c r="AV187" t="s">
        <v>549</v>
      </c>
    </row>
    <row r="188" spans="1:108" x14ac:dyDescent="0.2">
      <c r="A188" t="s">
        <v>42</v>
      </c>
      <c r="B188" t="s">
        <v>726</v>
      </c>
      <c r="C188" t="s">
        <v>242</v>
      </c>
      <c r="D188" t="s">
        <v>174</v>
      </c>
      <c r="E188" t="s">
        <v>175</v>
      </c>
      <c r="F188" t="s">
        <v>176</v>
      </c>
      <c r="G188">
        <v>0.5</v>
      </c>
      <c r="H188">
        <v>10</v>
      </c>
      <c r="I188" t="s">
        <v>177</v>
      </c>
      <c r="J188" t="s">
        <v>178</v>
      </c>
      <c r="K188" t="s">
        <v>179</v>
      </c>
      <c r="L188" t="s">
        <v>180</v>
      </c>
      <c r="M188">
        <v>251</v>
      </c>
      <c r="N188">
        <v>0.15537848605577689</v>
      </c>
      <c r="O188">
        <v>0.2392638036809816</v>
      </c>
      <c r="P188">
        <v>0.18840579710144931</v>
      </c>
      <c r="Q188">
        <v>30.11</v>
      </c>
      <c r="R188">
        <v>188</v>
      </c>
      <c r="S188">
        <v>188</v>
      </c>
      <c r="T188">
        <v>304357</v>
      </c>
      <c r="U188">
        <v>376</v>
      </c>
      <c r="V188">
        <v>304733</v>
      </c>
      <c r="W188">
        <v>188</v>
      </c>
      <c r="X188">
        <v>304357</v>
      </c>
      <c r="Y188">
        <v>376</v>
      </c>
      <c r="Z188">
        <v>304733</v>
      </c>
      <c r="AA188">
        <v>1880</v>
      </c>
      <c r="AB188">
        <v>1880</v>
      </c>
      <c r="AC188">
        <v>0</v>
      </c>
      <c r="AD188">
        <v>0</v>
      </c>
      <c r="AE188">
        <v>0</v>
      </c>
      <c r="AF188">
        <v>30.088000000000001</v>
      </c>
      <c r="AG188">
        <v>0.01</v>
      </c>
      <c r="AH188">
        <v>7.0000000000000001E-3</v>
      </c>
      <c r="AI188">
        <v>0.19500000000000001</v>
      </c>
      <c r="AJ188">
        <v>1.4E-2</v>
      </c>
      <c r="AK188">
        <v>0</v>
      </c>
      <c r="AL188">
        <v>0</v>
      </c>
      <c r="AM188">
        <v>1E-3</v>
      </c>
      <c r="AN188">
        <v>29.67</v>
      </c>
      <c r="AO188">
        <v>2.5999999999999999E-2</v>
      </c>
      <c r="AP188">
        <v>7.0000000000000001E-3</v>
      </c>
      <c r="AQ188">
        <v>0</v>
      </c>
      <c r="AR188">
        <v>0</v>
      </c>
      <c r="AS188">
        <v>0</v>
      </c>
      <c r="AT188" t="s">
        <v>243</v>
      </c>
      <c r="AU188" t="s">
        <v>243</v>
      </c>
      <c r="AV188" t="s">
        <v>549</v>
      </c>
    </row>
    <row r="189" spans="1:108" x14ac:dyDescent="0.2">
      <c r="A189" t="s">
        <v>42</v>
      </c>
      <c r="B189" t="s">
        <v>727</v>
      </c>
      <c r="C189" t="s">
        <v>242</v>
      </c>
      <c r="D189" t="s">
        <v>174</v>
      </c>
      <c r="E189" t="s">
        <v>175</v>
      </c>
      <c r="F189" t="s">
        <v>176</v>
      </c>
      <c r="G189">
        <v>0.5</v>
      </c>
      <c r="H189">
        <v>15</v>
      </c>
      <c r="I189" t="s">
        <v>177</v>
      </c>
      <c r="J189" t="s">
        <v>178</v>
      </c>
      <c r="K189" t="s">
        <v>179</v>
      </c>
      <c r="L189" t="s">
        <v>180</v>
      </c>
      <c r="M189">
        <v>251</v>
      </c>
      <c r="N189">
        <v>0.19920318725099601</v>
      </c>
      <c r="O189">
        <v>0.30674846625766872</v>
      </c>
      <c r="P189">
        <v>0.2415458937198067</v>
      </c>
      <c r="Q189">
        <v>43.07</v>
      </c>
      <c r="R189">
        <v>282</v>
      </c>
      <c r="S189">
        <v>282</v>
      </c>
      <c r="T189">
        <v>472215</v>
      </c>
      <c r="U189">
        <v>564</v>
      </c>
      <c r="V189">
        <v>472779</v>
      </c>
      <c r="W189">
        <v>282</v>
      </c>
      <c r="X189">
        <v>472215</v>
      </c>
      <c r="Y189">
        <v>564</v>
      </c>
      <c r="Z189">
        <v>472779</v>
      </c>
      <c r="AA189">
        <v>1880</v>
      </c>
      <c r="AB189">
        <v>1880</v>
      </c>
      <c r="AC189">
        <v>0</v>
      </c>
      <c r="AD189">
        <v>0</v>
      </c>
      <c r="AE189">
        <v>0</v>
      </c>
      <c r="AF189">
        <v>43.034999999999997</v>
      </c>
      <c r="AG189">
        <v>0.02</v>
      </c>
      <c r="AH189">
        <v>1.6E-2</v>
      </c>
      <c r="AI189">
        <v>0.20899999999999999</v>
      </c>
      <c r="AJ189">
        <v>1.4999999999999999E-2</v>
      </c>
      <c r="AK189">
        <v>0</v>
      </c>
      <c r="AL189">
        <v>0</v>
      </c>
      <c r="AM189">
        <v>1E-3</v>
      </c>
      <c r="AN189">
        <v>42.58</v>
      </c>
      <c r="AO189">
        <v>7.3999999999999996E-2</v>
      </c>
      <c r="AP189">
        <v>1.6E-2</v>
      </c>
      <c r="AQ189">
        <v>0</v>
      </c>
      <c r="AR189">
        <v>0</v>
      </c>
      <c r="AS189">
        <v>0</v>
      </c>
      <c r="AT189" t="s">
        <v>243</v>
      </c>
      <c r="AU189" t="s">
        <v>243</v>
      </c>
      <c r="AV189" t="s">
        <v>549</v>
      </c>
    </row>
    <row r="190" spans="1:108" x14ac:dyDescent="0.2">
      <c r="A190" t="s">
        <v>42</v>
      </c>
      <c r="B190" t="s">
        <v>728</v>
      </c>
      <c r="C190" t="s">
        <v>242</v>
      </c>
      <c r="D190" t="s">
        <v>174</v>
      </c>
      <c r="E190" t="s">
        <v>175</v>
      </c>
      <c r="F190" t="s">
        <v>176</v>
      </c>
      <c r="G190">
        <v>0.5</v>
      </c>
      <c r="H190">
        <v>20</v>
      </c>
      <c r="I190" t="s">
        <v>177</v>
      </c>
      <c r="J190" t="s">
        <v>178</v>
      </c>
      <c r="K190" t="s">
        <v>179</v>
      </c>
      <c r="L190" t="s">
        <v>180</v>
      </c>
      <c r="M190">
        <v>297</v>
      </c>
      <c r="N190">
        <v>0.16835016835016839</v>
      </c>
      <c r="O190">
        <v>0.30674846625766872</v>
      </c>
      <c r="P190">
        <v>0.21739130434782611</v>
      </c>
      <c r="Q190">
        <v>55.07</v>
      </c>
      <c r="R190">
        <v>376</v>
      </c>
      <c r="S190">
        <v>374</v>
      </c>
      <c r="T190">
        <v>625730</v>
      </c>
      <c r="U190">
        <v>748</v>
      </c>
      <c r="V190">
        <v>626478</v>
      </c>
      <c r="W190">
        <v>374</v>
      </c>
      <c r="X190">
        <v>625730</v>
      </c>
      <c r="Y190">
        <v>748</v>
      </c>
      <c r="Z190">
        <v>626478</v>
      </c>
      <c r="AA190">
        <v>1880</v>
      </c>
      <c r="AB190">
        <v>1880</v>
      </c>
      <c r="AC190">
        <v>0</v>
      </c>
      <c r="AD190">
        <v>0</v>
      </c>
      <c r="AE190">
        <v>0</v>
      </c>
      <c r="AF190">
        <v>55.05</v>
      </c>
      <c r="AG190">
        <v>1.2E-2</v>
      </c>
      <c r="AH190">
        <v>7.0000000000000001E-3</v>
      </c>
      <c r="AI190">
        <v>0.17299999999999999</v>
      </c>
      <c r="AJ190">
        <v>1.4E-2</v>
      </c>
      <c r="AK190">
        <v>0</v>
      </c>
      <c r="AL190">
        <v>0</v>
      </c>
      <c r="AM190">
        <v>1E-3</v>
      </c>
      <c r="AN190">
        <v>54.692999999999998</v>
      </c>
      <c r="AO190">
        <v>3.2000000000000001E-2</v>
      </c>
      <c r="AP190">
        <v>7.0000000000000001E-3</v>
      </c>
      <c r="AQ190">
        <v>0</v>
      </c>
      <c r="AR190">
        <v>0</v>
      </c>
      <c r="AS190">
        <v>0</v>
      </c>
      <c r="AT190" t="s">
        <v>243</v>
      </c>
      <c r="AU190" t="s">
        <v>243</v>
      </c>
      <c r="AV190" t="s">
        <v>549</v>
      </c>
    </row>
    <row r="191" spans="1:108" x14ac:dyDescent="0.2">
      <c r="A191" t="s">
        <v>42</v>
      </c>
      <c r="B191" t="s">
        <v>729</v>
      </c>
      <c r="C191" t="s">
        <v>242</v>
      </c>
      <c r="D191" t="s">
        <v>174</v>
      </c>
      <c r="E191" t="s">
        <v>175</v>
      </c>
      <c r="F191" t="s">
        <v>176</v>
      </c>
      <c r="G191">
        <v>0.5</v>
      </c>
      <c r="H191">
        <v>25</v>
      </c>
      <c r="I191" t="s">
        <v>177</v>
      </c>
      <c r="J191" t="s">
        <v>178</v>
      </c>
      <c r="K191" t="s">
        <v>179</v>
      </c>
      <c r="L191" t="s">
        <v>180</v>
      </c>
      <c r="M191">
        <v>342</v>
      </c>
      <c r="N191">
        <v>0.16081871345029239</v>
      </c>
      <c r="O191">
        <v>0.33742331288343558</v>
      </c>
      <c r="P191">
        <v>0.21782178217821779</v>
      </c>
      <c r="Q191">
        <v>67.7</v>
      </c>
      <c r="R191">
        <v>470</v>
      </c>
      <c r="S191">
        <v>460</v>
      </c>
      <c r="T191">
        <v>783666</v>
      </c>
      <c r="U191">
        <v>920</v>
      </c>
      <c r="V191">
        <v>784586</v>
      </c>
      <c r="W191">
        <v>460</v>
      </c>
      <c r="X191">
        <v>783666</v>
      </c>
      <c r="Y191">
        <v>920</v>
      </c>
      <c r="Z191">
        <v>784586</v>
      </c>
      <c r="AA191">
        <v>1880</v>
      </c>
      <c r="AB191">
        <v>1880</v>
      </c>
      <c r="AC191">
        <v>0</v>
      </c>
      <c r="AD191">
        <v>0</v>
      </c>
      <c r="AE191">
        <v>0</v>
      </c>
      <c r="AF191">
        <v>67.677000000000007</v>
      </c>
      <c r="AG191">
        <v>1.9E-2</v>
      </c>
      <c r="AH191">
        <v>8.0000000000000002E-3</v>
      </c>
      <c r="AI191">
        <v>0.192</v>
      </c>
      <c r="AJ191">
        <v>1.4999999999999999E-2</v>
      </c>
      <c r="AK191">
        <v>0</v>
      </c>
      <c r="AL191">
        <v>0</v>
      </c>
      <c r="AM191">
        <v>1E-3</v>
      </c>
      <c r="AN191">
        <v>67.241</v>
      </c>
      <c r="AO191">
        <v>4.3999999999999997E-2</v>
      </c>
      <c r="AP191">
        <v>8.0000000000000002E-3</v>
      </c>
      <c r="AQ191">
        <v>0</v>
      </c>
      <c r="AR191">
        <v>0</v>
      </c>
      <c r="AS191">
        <v>0</v>
      </c>
      <c r="AT191" t="s">
        <v>243</v>
      </c>
      <c r="AU191" t="s">
        <v>243</v>
      </c>
      <c r="AV191" t="s">
        <v>549</v>
      </c>
    </row>
    <row r="193" spans="1:102" x14ac:dyDescent="0.2">
      <c r="A193" t="s">
        <v>730</v>
      </c>
    </row>
    <row r="194" spans="1:102" x14ac:dyDescent="0.2">
      <c r="A194" t="s">
        <v>0</v>
      </c>
      <c r="B194" t="s">
        <v>71</v>
      </c>
      <c r="C194" t="s">
        <v>72</v>
      </c>
      <c r="D194" t="s">
        <v>73</v>
      </c>
      <c r="E194" t="s">
        <v>74</v>
      </c>
      <c r="F194" t="s">
        <v>75</v>
      </c>
      <c r="G194" t="s">
        <v>76</v>
      </c>
      <c r="H194" t="s">
        <v>77</v>
      </c>
      <c r="I194" t="s">
        <v>78</v>
      </c>
      <c r="J194" t="s">
        <v>79</v>
      </c>
      <c r="K194" t="s">
        <v>80</v>
      </c>
      <c r="L194" t="s">
        <v>81</v>
      </c>
      <c r="M194" t="s">
        <v>82</v>
      </c>
      <c r="N194" t="s">
        <v>83</v>
      </c>
      <c r="O194" t="s">
        <v>84</v>
      </c>
      <c r="P194" t="s">
        <v>85</v>
      </c>
      <c r="Q194" t="s">
        <v>86</v>
      </c>
      <c r="R194" t="s">
        <v>87</v>
      </c>
      <c r="S194" t="s">
        <v>88</v>
      </c>
      <c r="T194" t="s">
        <v>89</v>
      </c>
      <c r="U194" t="s">
        <v>90</v>
      </c>
      <c r="V194" t="s">
        <v>91</v>
      </c>
      <c r="W194" t="s">
        <v>92</v>
      </c>
      <c r="X194" t="s">
        <v>93</v>
      </c>
      <c r="Y194" t="s">
        <v>94</v>
      </c>
      <c r="Z194" t="s">
        <v>95</v>
      </c>
      <c r="AA194" t="s">
        <v>96</v>
      </c>
      <c r="AB194" t="s">
        <v>97</v>
      </c>
      <c r="AC194" t="s">
        <v>98</v>
      </c>
      <c r="AD194" t="s">
        <v>99</v>
      </c>
      <c r="AE194" t="s">
        <v>100</v>
      </c>
      <c r="AF194" t="s">
        <v>101</v>
      </c>
      <c r="AG194" t="s">
        <v>102</v>
      </c>
      <c r="AH194" t="s">
        <v>103</v>
      </c>
      <c r="AI194" t="s">
        <v>104</v>
      </c>
      <c r="AJ194" t="s">
        <v>105</v>
      </c>
      <c r="AK194" t="s">
        <v>106</v>
      </c>
      <c r="AL194" t="s">
        <v>107</v>
      </c>
      <c r="AM194" t="s">
        <v>108</v>
      </c>
      <c r="AN194" t="s">
        <v>109</v>
      </c>
      <c r="AO194" t="s">
        <v>110</v>
      </c>
      <c r="AP194" t="s">
        <v>111</v>
      </c>
      <c r="AQ194" t="s">
        <v>112</v>
      </c>
      <c r="AR194" t="s">
        <v>113</v>
      </c>
      <c r="AS194" t="s">
        <v>114</v>
      </c>
      <c r="AT194" t="s">
        <v>115</v>
      </c>
      <c r="AU194" t="s">
        <v>116</v>
      </c>
      <c r="AV194" t="s">
        <v>117</v>
      </c>
      <c r="AW194" t="s">
        <v>118</v>
      </c>
      <c r="AX194" t="s">
        <v>119</v>
      </c>
      <c r="AY194" t="s">
        <v>120</v>
      </c>
      <c r="AZ194" t="s">
        <v>121</v>
      </c>
      <c r="BA194" t="s">
        <v>122</v>
      </c>
      <c r="BB194" t="s">
        <v>123</v>
      </c>
      <c r="BC194" t="s">
        <v>124</v>
      </c>
      <c r="BD194" t="s">
        <v>125</v>
      </c>
      <c r="BE194" t="s">
        <v>126</v>
      </c>
      <c r="BF194" t="s">
        <v>127</v>
      </c>
      <c r="BG194" t="s">
        <v>128</v>
      </c>
      <c r="BH194" t="s">
        <v>129</v>
      </c>
      <c r="BI194" t="s">
        <v>130</v>
      </c>
      <c r="BJ194" t="s">
        <v>131</v>
      </c>
      <c r="BK194" t="s">
        <v>132</v>
      </c>
      <c r="BL194" t="s">
        <v>133</v>
      </c>
      <c r="BM194" t="s">
        <v>134</v>
      </c>
      <c r="BN194" t="s">
        <v>135</v>
      </c>
      <c r="BO194" t="s">
        <v>136</v>
      </c>
      <c r="BP194" t="s">
        <v>137</v>
      </c>
      <c r="BQ194" t="s">
        <v>138</v>
      </c>
      <c r="BR194" t="s">
        <v>139</v>
      </c>
      <c r="BS194" t="s">
        <v>140</v>
      </c>
      <c r="BT194" t="s">
        <v>141</v>
      </c>
      <c r="BU194" t="s">
        <v>142</v>
      </c>
      <c r="BV194" t="s">
        <v>143</v>
      </c>
      <c r="BW194" t="s">
        <v>144</v>
      </c>
      <c r="BX194" t="s">
        <v>145</v>
      </c>
      <c r="BY194" t="s">
        <v>146</v>
      </c>
      <c r="BZ194" t="s">
        <v>147</v>
      </c>
      <c r="CA194" t="s">
        <v>148</v>
      </c>
      <c r="CB194" t="s">
        <v>149</v>
      </c>
      <c r="CC194" t="s">
        <v>150</v>
      </c>
      <c r="CD194" t="s">
        <v>151</v>
      </c>
      <c r="CE194" t="s">
        <v>152</v>
      </c>
      <c r="CF194" t="s">
        <v>153</v>
      </c>
      <c r="CG194" t="s">
        <v>154</v>
      </c>
      <c r="CH194" t="s">
        <v>155</v>
      </c>
      <c r="CI194" t="s">
        <v>156</v>
      </c>
      <c r="CJ194" t="s">
        <v>157</v>
      </c>
      <c r="CK194" t="s">
        <v>158</v>
      </c>
      <c r="CL194" t="s">
        <v>159</v>
      </c>
      <c r="CM194" t="s">
        <v>160</v>
      </c>
      <c r="CN194" t="s">
        <v>161</v>
      </c>
      <c r="CO194" t="s">
        <v>162</v>
      </c>
      <c r="CP194" t="s">
        <v>163</v>
      </c>
      <c r="CQ194" t="s">
        <v>164</v>
      </c>
      <c r="CR194" t="s">
        <v>165</v>
      </c>
      <c r="CS194" t="s">
        <v>166</v>
      </c>
      <c r="CT194" t="s">
        <v>167</v>
      </c>
      <c r="CU194" t="s">
        <v>168</v>
      </c>
      <c r="CV194" t="s">
        <v>169</v>
      </c>
      <c r="CW194" t="s">
        <v>170</v>
      </c>
      <c r="CX194" t="s">
        <v>171</v>
      </c>
    </row>
    <row r="195" spans="1:102" x14ac:dyDescent="0.2">
      <c r="A195" t="s">
        <v>36</v>
      </c>
      <c r="B195" t="s">
        <v>731</v>
      </c>
      <c r="C195" t="s">
        <v>242</v>
      </c>
      <c r="D195" t="s">
        <v>174</v>
      </c>
      <c r="E195" t="s">
        <v>175</v>
      </c>
      <c r="F195" t="s">
        <v>176</v>
      </c>
      <c r="G195">
        <v>0.5</v>
      </c>
      <c r="H195">
        <v>5</v>
      </c>
      <c r="I195" t="s">
        <v>177</v>
      </c>
      <c r="J195" t="s">
        <v>178</v>
      </c>
      <c r="K195" t="s">
        <v>179</v>
      </c>
      <c r="L195" t="s">
        <v>180</v>
      </c>
      <c r="M195">
        <v>1455</v>
      </c>
      <c r="N195">
        <v>4.192439862542955E-2</v>
      </c>
      <c r="O195">
        <v>0.65591397849462363</v>
      </c>
      <c r="P195">
        <v>7.8811369509043924E-2</v>
      </c>
      <c r="Q195">
        <v>3.25</v>
      </c>
      <c r="R195">
        <v>84</v>
      </c>
      <c r="S195">
        <v>84</v>
      </c>
      <c r="T195">
        <v>39223</v>
      </c>
      <c r="U195">
        <v>168</v>
      </c>
      <c r="V195">
        <v>39391</v>
      </c>
      <c r="W195">
        <v>3</v>
      </c>
      <c r="X195">
        <v>39223</v>
      </c>
      <c r="Y195">
        <v>168</v>
      </c>
      <c r="Z195">
        <v>39391</v>
      </c>
      <c r="AA195">
        <v>1681</v>
      </c>
      <c r="AB195">
        <v>1681</v>
      </c>
      <c r="AC195">
        <v>0</v>
      </c>
      <c r="AD195">
        <v>0</v>
      </c>
      <c r="AE195">
        <v>1.4999999999999999E-2</v>
      </c>
      <c r="AF195">
        <v>3.1989999999999998</v>
      </c>
      <c r="AG195">
        <v>3.5000000000000003E-2</v>
      </c>
      <c r="AH195">
        <v>6.0000000000000001E-3</v>
      </c>
      <c r="AI195">
        <v>0.75800000000000001</v>
      </c>
      <c r="AJ195">
        <v>1.4E-2</v>
      </c>
      <c r="AK195">
        <v>0.04</v>
      </c>
      <c r="AL195">
        <v>0</v>
      </c>
      <c r="AM195">
        <v>1E-3</v>
      </c>
      <c r="AN195">
        <v>1.6619999999999999</v>
      </c>
      <c r="AO195">
        <v>6.8000000000000005E-2</v>
      </c>
      <c r="AP195">
        <v>6.0000000000000001E-3</v>
      </c>
      <c r="AQ195">
        <v>0</v>
      </c>
      <c r="AR195">
        <v>0</v>
      </c>
      <c r="AS195">
        <v>0</v>
      </c>
      <c r="AT195" t="s">
        <v>243</v>
      </c>
      <c r="AU195" t="s">
        <v>243</v>
      </c>
      <c r="AV195" t="s">
        <v>549</v>
      </c>
    </row>
    <row r="196" spans="1:102" x14ac:dyDescent="0.2">
      <c r="A196" t="s">
        <v>36</v>
      </c>
      <c r="B196" t="s">
        <v>732</v>
      </c>
      <c r="C196" t="s">
        <v>242</v>
      </c>
      <c r="D196" t="s">
        <v>174</v>
      </c>
      <c r="E196" t="s">
        <v>175</v>
      </c>
      <c r="F196" t="s">
        <v>176</v>
      </c>
      <c r="G196">
        <v>0.5</v>
      </c>
      <c r="H196">
        <v>10</v>
      </c>
      <c r="I196" t="s">
        <v>177</v>
      </c>
      <c r="J196" t="s">
        <v>178</v>
      </c>
      <c r="K196" t="s">
        <v>179</v>
      </c>
      <c r="L196" t="s">
        <v>180</v>
      </c>
      <c r="M196">
        <v>1189</v>
      </c>
      <c r="N196">
        <v>4.289318755256518E-2</v>
      </c>
      <c r="O196">
        <v>0.54838709677419351</v>
      </c>
      <c r="P196">
        <v>7.9563182527301088E-2</v>
      </c>
      <c r="Q196">
        <v>2.0099999999999998</v>
      </c>
      <c r="R196">
        <v>168</v>
      </c>
      <c r="S196">
        <v>168</v>
      </c>
      <c r="T196">
        <v>77616</v>
      </c>
      <c r="U196">
        <v>336</v>
      </c>
      <c r="V196">
        <v>77952</v>
      </c>
      <c r="W196">
        <v>6</v>
      </c>
      <c r="X196">
        <v>77616</v>
      </c>
      <c r="Y196">
        <v>336</v>
      </c>
      <c r="Z196">
        <v>77952</v>
      </c>
      <c r="AA196">
        <v>1681</v>
      </c>
      <c r="AB196">
        <v>1681</v>
      </c>
      <c r="AC196">
        <v>0</v>
      </c>
      <c r="AD196">
        <v>0</v>
      </c>
      <c r="AE196">
        <v>8.9999999999999993E-3</v>
      </c>
      <c r="AF196">
        <v>1.988</v>
      </c>
      <c r="AG196">
        <v>8.9999999999999993E-3</v>
      </c>
      <c r="AH196">
        <v>7.0000000000000001E-3</v>
      </c>
      <c r="AI196">
        <v>0.35799999999999998</v>
      </c>
      <c r="AJ196">
        <v>1.9E-2</v>
      </c>
      <c r="AK196">
        <v>4.2999999999999997E-2</v>
      </c>
      <c r="AL196">
        <v>0</v>
      </c>
      <c r="AM196">
        <v>1E-3</v>
      </c>
      <c r="AN196">
        <v>1.2270000000000001</v>
      </c>
      <c r="AO196">
        <v>0.128</v>
      </c>
      <c r="AP196">
        <v>7.0000000000000001E-3</v>
      </c>
      <c r="AQ196">
        <v>0</v>
      </c>
      <c r="AR196">
        <v>0</v>
      </c>
      <c r="AS196">
        <v>0</v>
      </c>
      <c r="AT196" t="s">
        <v>243</v>
      </c>
      <c r="AU196" t="s">
        <v>243</v>
      </c>
      <c r="AV196" t="s">
        <v>549</v>
      </c>
    </row>
    <row r="197" spans="1:102" x14ac:dyDescent="0.2">
      <c r="A197" t="s">
        <v>36</v>
      </c>
      <c r="B197" t="s">
        <v>733</v>
      </c>
      <c r="C197" t="s">
        <v>242</v>
      </c>
      <c r="D197" t="s">
        <v>174</v>
      </c>
      <c r="E197" t="s">
        <v>175</v>
      </c>
      <c r="F197" t="s">
        <v>176</v>
      </c>
      <c r="G197">
        <v>0.5</v>
      </c>
      <c r="H197">
        <v>15</v>
      </c>
      <c r="I197" t="s">
        <v>177</v>
      </c>
      <c r="J197" t="s">
        <v>178</v>
      </c>
      <c r="K197" t="s">
        <v>179</v>
      </c>
      <c r="L197" t="s">
        <v>180</v>
      </c>
      <c r="M197">
        <v>1156</v>
      </c>
      <c r="N197">
        <v>3.8062283737024222E-2</v>
      </c>
      <c r="O197">
        <v>0.4731182795698925</v>
      </c>
      <c r="P197">
        <v>7.0456365092073661E-2</v>
      </c>
      <c r="Q197">
        <v>2.12</v>
      </c>
      <c r="R197">
        <v>252</v>
      </c>
      <c r="S197">
        <v>252</v>
      </c>
      <c r="T197">
        <v>119019</v>
      </c>
      <c r="U197">
        <v>504</v>
      </c>
      <c r="V197">
        <v>119523</v>
      </c>
      <c r="W197">
        <v>8</v>
      </c>
      <c r="X197">
        <v>119019</v>
      </c>
      <c r="Y197">
        <v>504</v>
      </c>
      <c r="Z197">
        <v>119523</v>
      </c>
      <c r="AA197">
        <v>1681</v>
      </c>
      <c r="AB197">
        <v>1681</v>
      </c>
      <c r="AC197">
        <v>0</v>
      </c>
      <c r="AD197">
        <v>0</v>
      </c>
      <c r="AE197">
        <v>5.0000000000000001E-3</v>
      </c>
      <c r="AF197">
        <v>2.0609999999999999</v>
      </c>
      <c r="AG197">
        <v>3.2000000000000001E-2</v>
      </c>
      <c r="AH197">
        <v>2.4E-2</v>
      </c>
      <c r="AI197">
        <v>0.23499999999999999</v>
      </c>
      <c r="AJ197">
        <v>2.1999999999999999E-2</v>
      </c>
      <c r="AK197">
        <v>4.1000000000000002E-2</v>
      </c>
      <c r="AL197">
        <v>0</v>
      </c>
      <c r="AM197">
        <v>1E-3</v>
      </c>
      <c r="AN197">
        <v>1.4359999999999999</v>
      </c>
      <c r="AO197">
        <v>0.19600000000000001</v>
      </c>
      <c r="AP197">
        <v>2.4E-2</v>
      </c>
      <c r="AQ197">
        <v>0</v>
      </c>
      <c r="AR197">
        <v>0</v>
      </c>
      <c r="AS197">
        <v>0</v>
      </c>
      <c r="AT197" t="s">
        <v>243</v>
      </c>
      <c r="AU197" t="s">
        <v>243</v>
      </c>
      <c r="AV197" t="s">
        <v>549</v>
      </c>
    </row>
    <row r="198" spans="1:102" x14ac:dyDescent="0.2">
      <c r="A198" t="s">
        <v>36</v>
      </c>
      <c r="B198" t="s">
        <v>734</v>
      </c>
      <c r="C198" t="s">
        <v>242</v>
      </c>
      <c r="D198" t="s">
        <v>174</v>
      </c>
      <c r="E198" t="s">
        <v>175</v>
      </c>
      <c r="F198" t="s">
        <v>176</v>
      </c>
      <c r="G198">
        <v>0.5</v>
      </c>
      <c r="H198">
        <v>20</v>
      </c>
      <c r="I198" t="s">
        <v>177</v>
      </c>
      <c r="J198" t="s">
        <v>178</v>
      </c>
      <c r="K198" t="s">
        <v>179</v>
      </c>
      <c r="L198" t="s">
        <v>180</v>
      </c>
      <c r="M198">
        <v>1110</v>
      </c>
      <c r="N198">
        <v>4.8648648648648651E-2</v>
      </c>
      <c r="O198">
        <v>0.58064516129032262</v>
      </c>
      <c r="P198">
        <v>8.9775561097256859E-2</v>
      </c>
      <c r="Q198">
        <v>1.96</v>
      </c>
      <c r="R198">
        <v>336</v>
      </c>
      <c r="S198">
        <v>336</v>
      </c>
      <c r="T198">
        <v>159761</v>
      </c>
      <c r="U198">
        <v>672</v>
      </c>
      <c r="V198">
        <v>160433</v>
      </c>
      <c r="W198">
        <v>11</v>
      </c>
      <c r="X198">
        <v>159761</v>
      </c>
      <c r="Y198">
        <v>672</v>
      </c>
      <c r="Z198">
        <v>160433</v>
      </c>
      <c r="AA198">
        <v>1681</v>
      </c>
      <c r="AB198">
        <v>1681</v>
      </c>
      <c r="AC198">
        <v>0</v>
      </c>
      <c r="AD198">
        <v>0</v>
      </c>
      <c r="AE198">
        <v>5.0000000000000001E-3</v>
      </c>
      <c r="AF198">
        <v>1.9350000000000001</v>
      </c>
      <c r="AG198">
        <v>1.2999999999999999E-2</v>
      </c>
      <c r="AH198">
        <v>7.0000000000000001E-3</v>
      </c>
      <c r="AI198">
        <v>0.20399999999999999</v>
      </c>
      <c r="AJ198">
        <v>1.2E-2</v>
      </c>
      <c r="AK198">
        <v>0.04</v>
      </c>
      <c r="AL198">
        <v>0</v>
      </c>
      <c r="AM198">
        <v>1E-3</v>
      </c>
      <c r="AN198">
        <v>1.4019999999999999</v>
      </c>
      <c r="AO198">
        <v>8.1000000000000003E-2</v>
      </c>
      <c r="AP198">
        <v>7.0000000000000001E-3</v>
      </c>
      <c r="AQ198">
        <v>0</v>
      </c>
      <c r="AR198">
        <v>0</v>
      </c>
      <c r="AS198">
        <v>0</v>
      </c>
      <c r="AT198" t="s">
        <v>243</v>
      </c>
      <c r="AU198" t="s">
        <v>243</v>
      </c>
      <c r="AV198" t="s">
        <v>549</v>
      </c>
    </row>
    <row r="199" spans="1:102" x14ac:dyDescent="0.2">
      <c r="A199" t="s">
        <v>36</v>
      </c>
      <c r="B199" t="s">
        <v>735</v>
      </c>
      <c r="C199" t="s">
        <v>242</v>
      </c>
      <c r="D199" t="s">
        <v>174</v>
      </c>
      <c r="E199" t="s">
        <v>175</v>
      </c>
      <c r="F199" t="s">
        <v>176</v>
      </c>
      <c r="G199">
        <v>0.5</v>
      </c>
      <c r="H199">
        <v>25</v>
      </c>
      <c r="I199" t="s">
        <v>177</v>
      </c>
      <c r="J199" t="s">
        <v>178</v>
      </c>
      <c r="K199" t="s">
        <v>179</v>
      </c>
      <c r="L199" t="s">
        <v>180</v>
      </c>
      <c r="M199">
        <v>1029</v>
      </c>
      <c r="N199">
        <v>4.9562682215743441E-2</v>
      </c>
      <c r="O199">
        <v>0.54838709677419351</v>
      </c>
      <c r="P199">
        <v>9.0909090909090898E-2</v>
      </c>
      <c r="Q199">
        <v>2.0499999999999998</v>
      </c>
      <c r="R199">
        <v>420</v>
      </c>
      <c r="S199">
        <v>420</v>
      </c>
      <c r="T199">
        <v>197305</v>
      </c>
      <c r="U199">
        <v>840</v>
      </c>
      <c r="V199">
        <v>198145</v>
      </c>
      <c r="W199">
        <v>14</v>
      </c>
      <c r="X199">
        <v>197305</v>
      </c>
      <c r="Y199">
        <v>840</v>
      </c>
      <c r="Z199">
        <v>198145</v>
      </c>
      <c r="AA199">
        <v>1681</v>
      </c>
      <c r="AB199">
        <v>1681</v>
      </c>
      <c r="AC199">
        <v>0</v>
      </c>
      <c r="AD199">
        <v>0</v>
      </c>
      <c r="AE199">
        <v>5.0000000000000001E-3</v>
      </c>
      <c r="AF199">
        <v>2.004</v>
      </c>
      <c r="AG199">
        <v>3.6999999999999998E-2</v>
      </c>
      <c r="AH199">
        <v>5.0000000000000001E-3</v>
      </c>
      <c r="AI199">
        <v>0.20799999999999999</v>
      </c>
      <c r="AJ199">
        <v>0.01</v>
      </c>
      <c r="AK199">
        <v>0.04</v>
      </c>
      <c r="AL199">
        <v>0</v>
      </c>
      <c r="AM199">
        <v>1E-3</v>
      </c>
      <c r="AN199">
        <v>1.4770000000000001</v>
      </c>
      <c r="AO199">
        <v>0.03</v>
      </c>
      <c r="AP199">
        <v>5.0000000000000001E-3</v>
      </c>
      <c r="AQ199">
        <v>0</v>
      </c>
      <c r="AR199">
        <v>0</v>
      </c>
      <c r="AS199">
        <v>0</v>
      </c>
      <c r="AT199" t="s">
        <v>243</v>
      </c>
      <c r="AU199" t="s">
        <v>243</v>
      </c>
      <c r="AV199" t="s">
        <v>549</v>
      </c>
    </row>
    <row r="200" spans="1:102" x14ac:dyDescent="0.2">
      <c r="A200" t="s">
        <v>37</v>
      </c>
      <c r="B200" t="s">
        <v>736</v>
      </c>
      <c r="C200" t="s">
        <v>242</v>
      </c>
      <c r="D200" t="s">
        <v>174</v>
      </c>
      <c r="E200" t="s">
        <v>175</v>
      </c>
      <c r="F200" t="s">
        <v>176</v>
      </c>
      <c r="G200">
        <v>0.5</v>
      </c>
      <c r="H200">
        <v>5</v>
      </c>
      <c r="I200" t="s">
        <v>177</v>
      </c>
      <c r="J200" t="s">
        <v>178</v>
      </c>
      <c r="K200" t="s">
        <v>179</v>
      </c>
      <c r="L200" t="s">
        <v>180</v>
      </c>
      <c r="M200">
        <v>186</v>
      </c>
      <c r="N200">
        <v>1.075268817204301E-2</v>
      </c>
      <c r="O200">
        <v>0.5</v>
      </c>
      <c r="P200">
        <v>2.1052631578947371E-2</v>
      </c>
      <c r="Q200">
        <v>21.95</v>
      </c>
      <c r="R200">
        <v>50</v>
      </c>
      <c r="S200">
        <v>50</v>
      </c>
      <c r="T200">
        <v>204896</v>
      </c>
      <c r="U200">
        <v>100</v>
      </c>
      <c r="V200">
        <v>204996</v>
      </c>
      <c r="W200">
        <v>50</v>
      </c>
      <c r="X200">
        <v>204896</v>
      </c>
      <c r="Y200">
        <v>100</v>
      </c>
      <c r="Z200">
        <v>204996</v>
      </c>
      <c r="AA200">
        <v>1000</v>
      </c>
      <c r="AB200">
        <v>1000</v>
      </c>
      <c r="AC200">
        <v>0</v>
      </c>
      <c r="AD200">
        <v>0</v>
      </c>
      <c r="AE200">
        <v>4.0000000000000001E-3</v>
      </c>
      <c r="AF200">
        <v>21.939</v>
      </c>
      <c r="AG200">
        <v>7.0000000000000001E-3</v>
      </c>
      <c r="AH200">
        <v>3.0000000000000001E-3</v>
      </c>
      <c r="AI200">
        <v>0.24199999999999999</v>
      </c>
      <c r="AJ200">
        <v>2E-3</v>
      </c>
      <c r="AK200">
        <v>2.1000000000000001E-2</v>
      </c>
      <c r="AL200">
        <v>0</v>
      </c>
      <c r="AM200">
        <v>0</v>
      </c>
      <c r="AN200">
        <v>21.38</v>
      </c>
      <c r="AO200">
        <v>8.2000000000000003E-2</v>
      </c>
      <c r="AP200">
        <v>3.0000000000000001E-3</v>
      </c>
      <c r="AQ200">
        <v>0</v>
      </c>
      <c r="AR200">
        <v>0</v>
      </c>
      <c r="AS200">
        <v>0</v>
      </c>
      <c r="AT200" t="s">
        <v>243</v>
      </c>
      <c r="AU200" t="s">
        <v>243</v>
      </c>
      <c r="AV200" t="s">
        <v>549</v>
      </c>
    </row>
    <row r="201" spans="1:102" x14ac:dyDescent="0.2">
      <c r="A201" t="s">
        <v>37</v>
      </c>
      <c r="B201" t="s">
        <v>737</v>
      </c>
      <c r="C201" t="s">
        <v>242</v>
      </c>
      <c r="D201" t="s">
        <v>174</v>
      </c>
      <c r="E201" t="s">
        <v>175</v>
      </c>
      <c r="F201" t="s">
        <v>176</v>
      </c>
      <c r="G201">
        <v>0.5</v>
      </c>
      <c r="H201">
        <v>10</v>
      </c>
      <c r="I201" t="s">
        <v>177</v>
      </c>
      <c r="J201" t="s">
        <v>178</v>
      </c>
      <c r="K201" t="s">
        <v>179</v>
      </c>
      <c r="L201" t="s">
        <v>180</v>
      </c>
      <c r="M201">
        <v>132</v>
      </c>
      <c r="N201">
        <v>1.515151515151515E-2</v>
      </c>
      <c r="O201">
        <v>0.5</v>
      </c>
      <c r="P201">
        <v>2.9411764705882359E-2</v>
      </c>
      <c r="Q201">
        <v>26.07</v>
      </c>
      <c r="R201">
        <v>100</v>
      </c>
      <c r="S201">
        <v>100</v>
      </c>
      <c r="T201">
        <v>428994</v>
      </c>
      <c r="U201">
        <v>200</v>
      </c>
      <c r="V201">
        <v>429194</v>
      </c>
      <c r="W201">
        <v>100</v>
      </c>
      <c r="X201">
        <v>428994</v>
      </c>
      <c r="Y201">
        <v>200</v>
      </c>
      <c r="Z201">
        <v>429194</v>
      </c>
      <c r="AA201">
        <v>1000</v>
      </c>
      <c r="AB201">
        <v>1000</v>
      </c>
      <c r="AC201">
        <v>0</v>
      </c>
      <c r="AD201">
        <v>0</v>
      </c>
      <c r="AE201">
        <v>3.0000000000000001E-3</v>
      </c>
      <c r="AF201">
        <v>26.047999999999998</v>
      </c>
      <c r="AG201">
        <v>1.0999999999999999E-2</v>
      </c>
      <c r="AH201">
        <v>8.0000000000000002E-3</v>
      </c>
      <c r="AI201">
        <v>0.153</v>
      </c>
      <c r="AJ201">
        <v>1E-3</v>
      </c>
      <c r="AK201">
        <v>0.02</v>
      </c>
      <c r="AL201">
        <v>0</v>
      </c>
      <c r="AM201">
        <v>0</v>
      </c>
      <c r="AN201">
        <v>25.667000000000002</v>
      </c>
      <c r="AO201">
        <v>3.4000000000000002E-2</v>
      </c>
      <c r="AP201">
        <v>8.0000000000000002E-3</v>
      </c>
      <c r="AQ201">
        <v>0</v>
      </c>
      <c r="AR201">
        <v>0</v>
      </c>
      <c r="AS201">
        <v>0</v>
      </c>
      <c r="AT201" t="s">
        <v>243</v>
      </c>
      <c r="AU201" t="s">
        <v>243</v>
      </c>
      <c r="AV201" t="s">
        <v>549</v>
      </c>
    </row>
    <row r="202" spans="1:102" x14ac:dyDescent="0.2">
      <c r="A202" t="s">
        <v>37</v>
      </c>
      <c r="B202" t="s">
        <v>738</v>
      </c>
      <c r="C202" t="s">
        <v>242</v>
      </c>
      <c r="D202" t="s">
        <v>174</v>
      </c>
      <c r="E202" t="s">
        <v>175</v>
      </c>
      <c r="F202" t="s">
        <v>176</v>
      </c>
      <c r="G202">
        <v>0.5</v>
      </c>
      <c r="H202">
        <v>15</v>
      </c>
      <c r="I202" t="s">
        <v>177</v>
      </c>
      <c r="J202" t="s">
        <v>178</v>
      </c>
      <c r="K202" t="s">
        <v>179</v>
      </c>
      <c r="L202" t="s">
        <v>180</v>
      </c>
      <c r="M202">
        <v>90</v>
      </c>
      <c r="N202">
        <v>2.222222222222222E-2</v>
      </c>
      <c r="O202">
        <v>0.5</v>
      </c>
      <c r="P202">
        <v>4.2553191489361701E-2</v>
      </c>
      <c r="Q202">
        <v>38.799999999999997</v>
      </c>
      <c r="R202">
        <v>150</v>
      </c>
      <c r="S202">
        <v>150</v>
      </c>
      <c r="T202">
        <v>639405</v>
      </c>
      <c r="U202">
        <v>300</v>
      </c>
      <c r="V202">
        <v>639705</v>
      </c>
      <c r="W202">
        <v>150</v>
      </c>
      <c r="X202">
        <v>639405</v>
      </c>
      <c r="Y202">
        <v>300</v>
      </c>
      <c r="Z202">
        <v>639705</v>
      </c>
      <c r="AA202">
        <v>1000</v>
      </c>
      <c r="AB202">
        <v>1000</v>
      </c>
      <c r="AC202">
        <v>0</v>
      </c>
      <c r="AD202">
        <v>0</v>
      </c>
      <c r="AE202">
        <v>3.0000000000000001E-3</v>
      </c>
      <c r="AF202">
        <v>38.771999999999998</v>
      </c>
      <c r="AG202">
        <v>2.3E-2</v>
      </c>
      <c r="AH202">
        <v>7.0000000000000001E-3</v>
      </c>
      <c r="AI202">
        <v>0.15</v>
      </c>
      <c r="AJ202">
        <v>2E-3</v>
      </c>
      <c r="AK202">
        <v>2.1999999999999999E-2</v>
      </c>
      <c r="AL202">
        <v>0</v>
      </c>
      <c r="AM202">
        <v>1E-3</v>
      </c>
      <c r="AN202">
        <v>38.338000000000001</v>
      </c>
      <c r="AO202">
        <v>6.0999999999999999E-2</v>
      </c>
      <c r="AP202">
        <v>7.0000000000000001E-3</v>
      </c>
      <c r="AQ202">
        <v>0</v>
      </c>
      <c r="AR202">
        <v>0</v>
      </c>
      <c r="AS202">
        <v>0</v>
      </c>
      <c r="AT202" t="s">
        <v>243</v>
      </c>
      <c r="AU202" t="s">
        <v>243</v>
      </c>
      <c r="AV202" t="s">
        <v>549</v>
      </c>
    </row>
    <row r="203" spans="1:102" x14ac:dyDescent="0.2">
      <c r="A203" t="s">
        <v>37</v>
      </c>
      <c r="B203" t="s">
        <v>739</v>
      </c>
      <c r="C203" t="s">
        <v>242</v>
      </c>
      <c r="D203" t="s">
        <v>174</v>
      </c>
      <c r="E203" t="s">
        <v>175</v>
      </c>
      <c r="F203" t="s">
        <v>176</v>
      </c>
      <c r="G203">
        <v>0.5</v>
      </c>
      <c r="H203">
        <v>20</v>
      </c>
      <c r="I203" t="s">
        <v>177</v>
      </c>
      <c r="J203" t="s">
        <v>178</v>
      </c>
      <c r="K203" t="s">
        <v>179</v>
      </c>
      <c r="L203" t="s">
        <v>180</v>
      </c>
      <c r="M203">
        <v>82</v>
      </c>
      <c r="N203">
        <v>3.6585365853658527E-2</v>
      </c>
      <c r="O203">
        <v>0.75</v>
      </c>
      <c r="P203">
        <v>6.9767441860465101E-2</v>
      </c>
      <c r="Q203">
        <v>48.1</v>
      </c>
      <c r="R203">
        <v>200</v>
      </c>
      <c r="S203">
        <v>200</v>
      </c>
      <c r="T203">
        <v>842294</v>
      </c>
      <c r="U203">
        <v>400</v>
      </c>
      <c r="V203">
        <v>842694</v>
      </c>
      <c r="W203">
        <v>200</v>
      </c>
      <c r="X203">
        <v>842294</v>
      </c>
      <c r="Y203">
        <v>400</v>
      </c>
      <c r="Z203">
        <v>842694</v>
      </c>
      <c r="AA203">
        <v>1000</v>
      </c>
      <c r="AB203">
        <v>1000</v>
      </c>
      <c r="AC203">
        <v>0</v>
      </c>
      <c r="AD203">
        <v>0</v>
      </c>
      <c r="AE203">
        <v>3.0000000000000001E-3</v>
      </c>
      <c r="AF203">
        <v>48.08</v>
      </c>
      <c r="AG203">
        <v>1.2999999999999999E-2</v>
      </c>
      <c r="AH203">
        <v>3.0000000000000001E-3</v>
      </c>
      <c r="AI203">
        <v>0.14099999999999999</v>
      </c>
      <c r="AJ203">
        <v>2E-3</v>
      </c>
      <c r="AK203">
        <v>2.3E-2</v>
      </c>
      <c r="AL203">
        <v>0</v>
      </c>
      <c r="AM203">
        <v>0</v>
      </c>
      <c r="AN203">
        <v>47.646000000000001</v>
      </c>
      <c r="AO203">
        <v>1.6E-2</v>
      </c>
      <c r="AP203">
        <v>3.0000000000000001E-3</v>
      </c>
      <c r="AQ203">
        <v>0</v>
      </c>
      <c r="AR203">
        <v>0</v>
      </c>
      <c r="AS203">
        <v>0</v>
      </c>
      <c r="AT203" t="s">
        <v>243</v>
      </c>
      <c r="AU203" t="s">
        <v>243</v>
      </c>
      <c r="AV203" t="s">
        <v>549</v>
      </c>
    </row>
    <row r="204" spans="1:102" x14ac:dyDescent="0.2">
      <c r="A204" t="s">
        <v>37</v>
      </c>
      <c r="B204" t="s">
        <v>740</v>
      </c>
      <c r="C204" t="s">
        <v>242</v>
      </c>
      <c r="D204" t="s">
        <v>174</v>
      </c>
      <c r="E204" t="s">
        <v>175</v>
      </c>
      <c r="F204" t="s">
        <v>176</v>
      </c>
      <c r="G204">
        <v>0.5</v>
      </c>
      <c r="H204">
        <v>25</v>
      </c>
      <c r="I204" t="s">
        <v>177</v>
      </c>
      <c r="J204" t="s">
        <v>178</v>
      </c>
      <c r="K204" t="s">
        <v>179</v>
      </c>
      <c r="L204" t="s">
        <v>180</v>
      </c>
      <c r="M204">
        <v>86</v>
      </c>
      <c r="N204">
        <v>3.4883720930232558E-2</v>
      </c>
      <c r="O204">
        <v>0.75</v>
      </c>
      <c r="P204">
        <v>6.6666666666666666E-2</v>
      </c>
      <c r="Q204">
        <v>64.41</v>
      </c>
      <c r="R204">
        <v>250</v>
      </c>
      <c r="S204">
        <v>250</v>
      </c>
      <c r="T204">
        <v>1041583</v>
      </c>
      <c r="U204">
        <v>500</v>
      </c>
      <c r="V204">
        <v>1042083</v>
      </c>
      <c r="W204">
        <v>250</v>
      </c>
      <c r="X204">
        <v>1041583</v>
      </c>
      <c r="Y204">
        <v>500</v>
      </c>
      <c r="Z204">
        <v>1042083</v>
      </c>
      <c r="AA204">
        <v>1000</v>
      </c>
      <c r="AB204">
        <v>1000</v>
      </c>
      <c r="AC204">
        <v>0</v>
      </c>
      <c r="AD204">
        <v>0</v>
      </c>
      <c r="AE204">
        <v>3.0000000000000001E-3</v>
      </c>
      <c r="AF204">
        <v>64.352999999999994</v>
      </c>
      <c r="AG204">
        <v>4.8000000000000001E-2</v>
      </c>
      <c r="AH204">
        <v>4.0000000000000001E-3</v>
      </c>
      <c r="AI204">
        <v>0.13200000000000001</v>
      </c>
      <c r="AJ204">
        <v>1E-3</v>
      </c>
      <c r="AK204">
        <v>1.4999999999999999E-2</v>
      </c>
      <c r="AL204">
        <v>0</v>
      </c>
      <c r="AM204">
        <v>1E-3</v>
      </c>
      <c r="AN204">
        <v>64.03</v>
      </c>
      <c r="AO204">
        <v>2.1999999999999999E-2</v>
      </c>
      <c r="AP204">
        <v>4.0000000000000001E-3</v>
      </c>
      <c r="AQ204">
        <v>0</v>
      </c>
      <c r="AR204">
        <v>0</v>
      </c>
      <c r="AS204">
        <v>0</v>
      </c>
      <c r="AT204" t="s">
        <v>243</v>
      </c>
      <c r="AU204" t="s">
        <v>243</v>
      </c>
      <c r="AV204" t="s">
        <v>549</v>
      </c>
    </row>
    <row r="205" spans="1:102" x14ac:dyDescent="0.2">
      <c r="A205" t="s">
        <v>38</v>
      </c>
      <c r="B205" t="s">
        <v>741</v>
      </c>
      <c r="C205" t="s">
        <v>242</v>
      </c>
      <c r="D205" t="s">
        <v>174</v>
      </c>
      <c r="E205" t="s">
        <v>175</v>
      </c>
      <c r="F205" t="s">
        <v>176</v>
      </c>
      <c r="G205">
        <v>0.5</v>
      </c>
      <c r="H205">
        <v>5</v>
      </c>
      <c r="I205" t="s">
        <v>177</v>
      </c>
      <c r="J205" t="s">
        <v>178</v>
      </c>
      <c r="K205" t="s">
        <v>179</v>
      </c>
      <c r="L205" t="s">
        <v>180</v>
      </c>
      <c r="M205">
        <v>214</v>
      </c>
      <c r="N205">
        <v>3.7383177570093462E-2</v>
      </c>
      <c r="O205">
        <v>0.66666666666666663</v>
      </c>
      <c r="P205">
        <v>7.0796460176991136E-2</v>
      </c>
      <c r="Q205">
        <v>11.56</v>
      </c>
      <c r="R205">
        <v>16</v>
      </c>
      <c r="S205">
        <v>16</v>
      </c>
      <c r="T205">
        <v>93824</v>
      </c>
      <c r="U205">
        <v>32</v>
      </c>
      <c r="V205">
        <v>93856</v>
      </c>
      <c r="W205">
        <v>16</v>
      </c>
      <c r="X205">
        <v>93824</v>
      </c>
      <c r="Y205">
        <v>32</v>
      </c>
      <c r="Z205">
        <v>93856</v>
      </c>
      <c r="AA205">
        <v>306</v>
      </c>
      <c r="AB205">
        <v>306</v>
      </c>
      <c r="AC205">
        <v>0</v>
      </c>
      <c r="AD205">
        <v>0</v>
      </c>
      <c r="AE205">
        <v>4.0000000000000001E-3</v>
      </c>
      <c r="AF205">
        <v>11.55</v>
      </c>
      <c r="AG205">
        <v>3.0000000000000001E-3</v>
      </c>
      <c r="AH205">
        <v>4.0000000000000001E-3</v>
      </c>
      <c r="AI205">
        <v>0.33800000000000002</v>
      </c>
      <c r="AJ205">
        <v>0</v>
      </c>
      <c r="AK205">
        <v>2E-3</v>
      </c>
      <c r="AL205">
        <v>0</v>
      </c>
      <c r="AM205">
        <v>0</v>
      </c>
      <c r="AN205">
        <v>10.821999999999999</v>
      </c>
      <c r="AO205">
        <v>0.14499999999999999</v>
      </c>
      <c r="AP205">
        <v>4.0000000000000001E-3</v>
      </c>
      <c r="AQ205">
        <v>0</v>
      </c>
      <c r="AR205">
        <v>0</v>
      </c>
      <c r="AS205">
        <v>0</v>
      </c>
      <c r="AT205" t="s">
        <v>243</v>
      </c>
      <c r="AU205" t="s">
        <v>243</v>
      </c>
      <c r="AV205" t="s">
        <v>549</v>
      </c>
    </row>
    <row r="206" spans="1:102" x14ac:dyDescent="0.2">
      <c r="A206" t="s">
        <v>38</v>
      </c>
      <c r="B206" t="s">
        <v>742</v>
      </c>
      <c r="C206" t="s">
        <v>242</v>
      </c>
      <c r="D206" t="s">
        <v>174</v>
      </c>
      <c r="E206" t="s">
        <v>175</v>
      </c>
      <c r="F206" t="s">
        <v>176</v>
      </c>
      <c r="G206">
        <v>0.5</v>
      </c>
      <c r="H206">
        <v>10</v>
      </c>
      <c r="I206" t="s">
        <v>177</v>
      </c>
      <c r="J206" t="s">
        <v>178</v>
      </c>
      <c r="K206" t="s">
        <v>179</v>
      </c>
      <c r="L206" t="s">
        <v>180</v>
      </c>
      <c r="M206">
        <v>176</v>
      </c>
      <c r="N206">
        <v>5.6818181818181823E-2</v>
      </c>
      <c r="O206">
        <v>0.83333333333333337</v>
      </c>
      <c r="P206">
        <v>0.1063829787234043</v>
      </c>
      <c r="Q206">
        <v>16.309999999999999</v>
      </c>
      <c r="R206">
        <v>32</v>
      </c>
      <c r="S206">
        <v>32</v>
      </c>
      <c r="T206">
        <v>182308</v>
      </c>
      <c r="U206">
        <v>64</v>
      </c>
      <c r="V206">
        <v>182372</v>
      </c>
      <c r="W206">
        <v>32</v>
      </c>
      <c r="X206">
        <v>182308</v>
      </c>
      <c r="Y206">
        <v>64</v>
      </c>
      <c r="Z206">
        <v>182372</v>
      </c>
      <c r="AA206">
        <v>306</v>
      </c>
      <c r="AB206">
        <v>306</v>
      </c>
      <c r="AC206">
        <v>0</v>
      </c>
      <c r="AD206">
        <v>0</v>
      </c>
      <c r="AE206">
        <v>1E-3</v>
      </c>
      <c r="AF206">
        <v>16.3</v>
      </c>
      <c r="AG206">
        <v>0.01</v>
      </c>
      <c r="AH206">
        <v>3.0000000000000001E-3</v>
      </c>
      <c r="AI206">
        <v>0.35699999999999998</v>
      </c>
      <c r="AJ206">
        <v>1E-3</v>
      </c>
      <c r="AK206">
        <v>4.0000000000000001E-3</v>
      </c>
      <c r="AL206">
        <v>0</v>
      </c>
      <c r="AM206">
        <v>1E-3</v>
      </c>
      <c r="AN206">
        <v>15.676</v>
      </c>
      <c r="AO206">
        <v>0.02</v>
      </c>
      <c r="AP206">
        <v>3.0000000000000001E-3</v>
      </c>
      <c r="AQ206">
        <v>0</v>
      </c>
      <c r="AR206">
        <v>0</v>
      </c>
      <c r="AS206">
        <v>0</v>
      </c>
      <c r="AT206" t="s">
        <v>243</v>
      </c>
      <c r="AU206" t="s">
        <v>243</v>
      </c>
      <c r="AV206" t="s">
        <v>549</v>
      </c>
    </row>
    <row r="207" spans="1:102" x14ac:dyDescent="0.2">
      <c r="A207" t="s">
        <v>38</v>
      </c>
      <c r="B207" t="s">
        <v>743</v>
      </c>
      <c r="C207" t="s">
        <v>242</v>
      </c>
      <c r="D207" t="s">
        <v>174</v>
      </c>
      <c r="E207" t="s">
        <v>175</v>
      </c>
      <c r="F207" t="s">
        <v>176</v>
      </c>
      <c r="G207">
        <v>0.5</v>
      </c>
      <c r="H207">
        <v>15</v>
      </c>
      <c r="I207" t="s">
        <v>177</v>
      </c>
      <c r="J207" t="s">
        <v>178</v>
      </c>
      <c r="K207" t="s">
        <v>179</v>
      </c>
      <c r="L207" t="s">
        <v>180</v>
      </c>
      <c r="M207">
        <v>138</v>
      </c>
      <c r="N207">
        <v>5.7971014492753617E-2</v>
      </c>
      <c r="O207">
        <v>0.66666666666666663</v>
      </c>
      <c r="P207">
        <v>0.1066666666666667</v>
      </c>
      <c r="Q207">
        <v>22.91</v>
      </c>
      <c r="R207">
        <v>48</v>
      </c>
      <c r="S207">
        <v>48</v>
      </c>
      <c r="T207">
        <v>276132</v>
      </c>
      <c r="U207">
        <v>96</v>
      </c>
      <c r="V207">
        <v>276228</v>
      </c>
      <c r="W207">
        <v>48</v>
      </c>
      <c r="X207">
        <v>276132</v>
      </c>
      <c r="Y207">
        <v>96</v>
      </c>
      <c r="Z207">
        <v>276228</v>
      </c>
      <c r="AA207">
        <v>306</v>
      </c>
      <c r="AB207">
        <v>306</v>
      </c>
      <c r="AC207">
        <v>0</v>
      </c>
      <c r="AD207">
        <v>0</v>
      </c>
      <c r="AE207">
        <v>1E-3</v>
      </c>
      <c r="AF207">
        <v>22.89</v>
      </c>
      <c r="AG207">
        <v>1.2999999999999999E-2</v>
      </c>
      <c r="AH207">
        <v>1E-3</v>
      </c>
      <c r="AI207">
        <v>0.34</v>
      </c>
      <c r="AJ207">
        <v>1E-3</v>
      </c>
      <c r="AK207">
        <v>5.0000000000000001E-3</v>
      </c>
      <c r="AL207">
        <v>0</v>
      </c>
      <c r="AM207">
        <v>0</v>
      </c>
      <c r="AN207">
        <v>22.334</v>
      </c>
      <c r="AO207">
        <v>0.04</v>
      </c>
      <c r="AP207">
        <v>1E-3</v>
      </c>
      <c r="AQ207">
        <v>0</v>
      </c>
      <c r="AR207">
        <v>0</v>
      </c>
      <c r="AS207">
        <v>0</v>
      </c>
      <c r="AT207" t="s">
        <v>243</v>
      </c>
      <c r="AU207" t="s">
        <v>243</v>
      </c>
      <c r="AV207" t="s">
        <v>549</v>
      </c>
    </row>
    <row r="208" spans="1:102" x14ac:dyDescent="0.2">
      <c r="A208" t="s">
        <v>38</v>
      </c>
      <c r="B208" t="s">
        <v>744</v>
      </c>
      <c r="C208" t="s">
        <v>242</v>
      </c>
      <c r="D208" t="s">
        <v>174</v>
      </c>
      <c r="E208" t="s">
        <v>175</v>
      </c>
      <c r="F208" t="s">
        <v>176</v>
      </c>
      <c r="G208">
        <v>0.5</v>
      </c>
      <c r="H208">
        <v>20</v>
      </c>
      <c r="I208" t="s">
        <v>177</v>
      </c>
      <c r="J208" t="s">
        <v>178</v>
      </c>
      <c r="K208" t="s">
        <v>179</v>
      </c>
      <c r="L208" t="s">
        <v>180</v>
      </c>
      <c r="M208">
        <v>148</v>
      </c>
      <c r="N208">
        <v>6.7567567567567571E-2</v>
      </c>
      <c r="O208">
        <v>0.83333333333333337</v>
      </c>
      <c r="P208">
        <v>0.125</v>
      </c>
      <c r="Q208">
        <v>33.93</v>
      </c>
      <c r="R208">
        <v>64</v>
      </c>
      <c r="S208">
        <v>64</v>
      </c>
      <c r="T208">
        <v>375296</v>
      </c>
      <c r="U208">
        <v>128</v>
      </c>
      <c r="V208">
        <v>375424</v>
      </c>
      <c r="W208">
        <v>64</v>
      </c>
      <c r="X208">
        <v>375296</v>
      </c>
      <c r="Y208">
        <v>128</v>
      </c>
      <c r="Z208">
        <v>375424</v>
      </c>
      <c r="AA208">
        <v>306</v>
      </c>
      <c r="AB208">
        <v>306</v>
      </c>
      <c r="AC208">
        <v>0</v>
      </c>
      <c r="AD208">
        <v>0</v>
      </c>
      <c r="AE208">
        <v>1E-3</v>
      </c>
      <c r="AF208">
        <v>33.914999999999999</v>
      </c>
      <c r="AG208">
        <v>0.01</v>
      </c>
      <c r="AH208">
        <v>2E-3</v>
      </c>
      <c r="AI208">
        <v>0.34300000000000003</v>
      </c>
      <c r="AJ208">
        <v>1E-3</v>
      </c>
      <c r="AK208">
        <v>5.0000000000000001E-3</v>
      </c>
      <c r="AL208">
        <v>0</v>
      </c>
      <c r="AM208">
        <v>0</v>
      </c>
      <c r="AN208">
        <v>33.32</v>
      </c>
      <c r="AO208">
        <v>0.06</v>
      </c>
      <c r="AP208">
        <v>2E-3</v>
      </c>
      <c r="AQ208">
        <v>0</v>
      </c>
      <c r="AR208">
        <v>0</v>
      </c>
      <c r="AS208">
        <v>0</v>
      </c>
      <c r="AT208" t="s">
        <v>243</v>
      </c>
      <c r="AU208" t="s">
        <v>243</v>
      </c>
      <c r="AV208" t="s">
        <v>549</v>
      </c>
    </row>
    <row r="209" spans="1:102" x14ac:dyDescent="0.2">
      <c r="A209" t="s">
        <v>38</v>
      </c>
      <c r="B209" t="s">
        <v>745</v>
      </c>
      <c r="C209" t="s">
        <v>242</v>
      </c>
      <c r="D209" t="s">
        <v>174</v>
      </c>
      <c r="E209" t="s">
        <v>175</v>
      </c>
      <c r="F209" t="s">
        <v>176</v>
      </c>
      <c r="G209">
        <v>0.5</v>
      </c>
      <c r="H209">
        <v>25</v>
      </c>
      <c r="I209" t="s">
        <v>177</v>
      </c>
      <c r="J209" t="s">
        <v>178</v>
      </c>
      <c r="K209" t="s">
        <v>179</v>
      </c>
      <c r="L209" t="s">
        <v>180</v>
      </c>
      <c r="M209">
        <v>126</v>
      </c>
      <c r="N209">
        <v>7.9365079365079361E-2</v>
      </c>
      <c r="O209">
        <v>0.83333333333333337</v>
      </c>
      <c r="P209">
        <v>0.14492753623188401</v>
      </c>
      <c r="Q209">
        <v>40.72</v>
      </c>
      <c r="R209">
        <v>81</v>
      </c>
      <c r="S209">
        <v>81</v>
      </c>
      <c r="T209">
        <v>464304</v>
      </c>
      <c r="U209">
        <v>162</v>
      </c>
      <c r="V209">
        <v>464466</v>
      </c>
      <c r="W209">
        <v>81</v>
      </c>
      <c r="X209">
        <v>464304</v>
      </c>
      <c r="Y209">
        <v>162</v>
      </c>
      <c r="Z209">
        <v>464466</v>
      </c>
      <c r="AA209">
        <v>306</v>
      </c>
      <c r="AB209">
        <v>306</v>
      </c>
      <c r="AC209">
        <v>0</v>
      </c>
      <c r="AD209">
        <v>0</v>
      </c>
      <c r="AE209">
        <v>1E-3</v>
      </c>
      <c r="AF209">
        <v>40.69</v>
      </c>
      <c r="AG209">
        <v>2.1000000000000001E-2</v>
      </c>
      <c r="AH209">
        <v>7.0000000000000001E-3</v>
      </c>
      <c r="AI209">
        <v>0.33800000000000002</v>
      </c>
      <c r="AJ209">
        <v>1E-3</v>
      </c>
      <c r="AK209">
        <v>5.0000000000000001E-3</v>
      </c>
      <c r="AL209">
        <v>0</v>
      </c>
      <c r="AM209">
        <v>0</v>
      </c>
      <c r="AN209">
        <v>40.070999999999998</v>
      </c>
      <c r="AO209">
        <v>6.2E-2</v>
      </c>
      <c r="AP209">
        <v>7.0000000000000001E-3</v>
      </c>
      <c r="AQ209">
        <v>0</v>
      </c>
      <c r="AR209">
        <v>0</v>
      </c>
      <c r="AS209">
        <v>0</v>
      </c>
      <c r="AT209" t="s">
        <v>243</v>
      </c>
      <c r="AU209" t="s">
        <v>243</v>
      </c>
      <c r="AV209" t="s">
        <v>549</v>
      </c>
    </row>
    <row r="210" spans="1:102" x14ac:dyDescent="0.2">
      <c r="A210" t="s">
        <v>39</v>
      </c>
      <c r="B210" t="s">
        <v>746</v>
      </c>
      <c r="C210" t="s">
        <v>242</v>
      </c>
      <c r="D210" t="s">
        <v>174</v>
      </c>
      <c r="E210" t="s">
        <v>175</v>
      </c>
      <c r="F210" t="s">
        <v>176</v>
      </c>
      <c r="G210">
        <v>0.5</v>
      </c>
      <c r="H210">
        <v>5</v>
      </c>
      <c r="I210" t="s">
        <v>177</v>
      </c>
      <c r="J210" t="s">
        <v>178</v>
      </c>
      <c r="K210" t="s">
        <v>179</v>
      </c>
      <c r="L210" t="s">
        <v>180</v>
      </c>
      <c r="M210">
        <v>12</v>
      </c>
      <c r="N210">
        <v>0.66666666666666663</v>
      </c>
      <c r="O210">
        <v>0.66666666666666663</v>
      </c>
      <c r="P210">
        <v>0.66666666666666663</v>
      </c>
      <c r="Q210">
        <v>17.14</v>
      </c>
      <c r="R210">
        <v>12</v>
      </c>
      <c r="S210">
        <v>12</v>
      </c>
      <c r="T210">
        <v>50410</v>
      </c>
      <c r="U210">
        <v>24</v>
      </c>
      <c r="V210">
        <v>50434</v>
      </c>
      <c r="W210">
        <v>12</v>
      </c>
      <c r="X210">
        <v>50410</v>
      </c>
      <c r="Y210">
        <v>24</v>
      </c>
      <c r="Z210">
        <v>50434</v>
      </c>
      <c r="AA210">
        <v>250</v>
      </c>
      <c r="AB210">
        <v>250</v>
      </c>
      <c r="AC210">
        <v>0</v>
      </c>
      <c r="AD210">
        <v>0</v>
      </c>
      <c r="AE210">
        <v>6.0000000000000001E-3</v>
      </c>
      <c r="AF210">
        <v>17.131</v>
      </c>
      <c r="AG210">
        <v>4.0000000000000001E-3</v>
      </c>
      <c r="AH210">
        <v>1E-3</v>
      </c>
      <c r="AI210">
        <v>0.42099999999999999</v>
      </c>
      <c r="AJ210">
        <v>8.8960000000000008</v>
      </c>
      <c r="AK210">
        <v>0</v>
      </c>
      <c r="AL210">
        <v>0</v>
      </c>
      <c r="AM210">
        <v>1E-3</v>
      </c>
      <c r="AN210">
        <v>7.5609999999999999</v>
      </c>
      <c r="AO210">
        <v>4.1000000000000002E-2</v>
      </c>
      <c r="AP210">
        <v>1E-3</v>
      </c>
      <c r="AQ210">
        <v>0</v>
      </c>
      <c r="AR210">
        <v>0</v>
      </c>
      <c r="AS210">
        <v>0</v>
      </c>
      <c r="AT210" t="s">
        <v>243</v>
      </c>
      <c r="AU210" t="s">
        <v>243</v>
      </c>
      <c r="AV210" t="s">
        <v>549</v>
      </c>
    </row>
    <row r="211" spans="1:102" x14ac:dyDescent="0.2">
      <c r="A211" t="s">
        <v>39</v>
      </c>
      <c r="B211" t="s">
        <v>747</v>
      </c>
      <c r="C211" t="s">
        <v>242</v>
      </c>
      <c r="D211" t="s">
        <v>174</v>
      </c>
      <c r="E211" t="s">
        <v>175</v>
      </c>
      <c r="F211" t="s">
        <v>176</v>
      </c>
      <c r="G211">
        <v>0.5</v>
      </c>
      <c r="H211">
        <v>10</v>
      </c>
      <c r="I211" t="s">
        <v>177</v>
      </c>
      <c r="J211" t="s">
        <v>178</v>
      </c>
      <c r="K211" t="s">
        <v>179</v>
      </c>
      <c r="L211" t="s">
        <v>180</v>
      </c>
      <c r="M211">
        <v>14</v>
      </c>
      <c r="N211">
        <v>0.6428571428571429</v>
      </c>
      <c r="O211">
        <v>0.75</v>
      </c>
      <c r="P211">
        <v>0.6923076923076924</v>
      </c>
      <c r="Q211">
        <v>10.58</v>
      </c>
      <c r="R211">
        <v>25</v>
      </c>
      <c r="S211">
        <v>25</v>
      </c>
      <c r="T211">
        <v>97472</v>
      </c>
      <c r="U211">
        <v>50</v>
      </c>
      <c r="V211">
        <v>97522</v>
      </c>
      <c r="W211">
        <v>25</v>
      </c>
      <c r="X211">
        <v>97472</v>
      </c>
      <c r="Y211">
        <v>50</v>
      </c>
      <c r="Z211">
        <v>97522</v>
      </c>
      <c r="AA211">
        <v>250</v>
      </c>
      <c r="AB211">
        <v>250</v>
      </c>
      <c r="AC211">
        <v>0</v>
      </c>
      <c r="AD211">
        <v>0</v>
      </c>
      <c r="AE211">
        <v>0</v>
      </c>
      <c r="AF211">
        <v>10.567</v>
      </c>
      <c r="AG211">
        <v>7.0000000000000001E-3</v>
      </c>
      <c r="AH211">
        <v>2E-3</v>
      </c>
      <c r="AI211">
        <v>0.19900000000000001</v>
      </c>
      <c r="AJ211">
        <v>1.2999999999999999E-2</v>
      </c>
      <c r="AK211">
        <v>0</v>
      </c>
      <c r="AL211">
        <v>0</v>
      </c>
      <c r="AM211">
        <v>0</v>
      </c>
      <c r="AN211">
        <v>10.082000000000001</v>
      </c>
      <c r="AO211">
        <v>8.7999999999999995E-2</v>
      </c>
      <c r="AP211">
        <v>2E-3</v>
      </c>
      <c r="AQ211">
        <v>0</v>
      </c>
      <c r="AR211">
        <v>0</v>
      </c>
      <c r="AS211">
        <v>0</v>
      </c>
      <c r="AT211" t="s">
        <v>243</v>
      </c>
      <c r="AU211" t="s">
        <v>243</v>
      </c>
      <c r="AV211" t="s">
        <v>549</v>
      </c>
    </row>
    <row r="212" spans="1:102" x14ac:dyDescent="0.2">
      <c r="A212" t="s">
        <v>39</v>
      </c>
      <c r="B212" t="s">
        <v>748</v>
      </c>
      <c r="C212" t="s">
        <v>242</v>
      </c>
      <c r="D212" t="s">
        <v>174</v>
      </c>
      <c r="E212" t="s">
        <v>175</v>
      </c>
      <c r="F212" t="s">
        <v>176</v>
      </c>
      <c r="G212">
        <v>0.5</v>
      </c>
      <c r="H212">
        <v>15</v>
      </c>
      <c r="I212" t="s">
        <v>177</v>
      </c>
      <c r="J212" t="s">
        <v>178</v>
      </c>
      <c r="K212" t="s">
        <v>179</v>
      </c>
      <c r="L212" t="s">
        <v>180</v>
      </c>
      <c r="M212">
        <v>14</v>
      </c>
      <c r="N212">
        <v>0.6428571428571429</v>
      </c>
      <c r="O212">
        <v>0.75</v>
      </c>
      <c r="P212">
        <v>0.6923076923076924</v>
      </c>
      <c r="Q212">
        <v>13.59</v>
      </c>
      <c r="R212">
        <v>37</v>
      </c>
      <c r="S212">
        <v>37</v>
      </c>
      <c r="T212">
        <v>143743</v>
      </c>
      <c r="U212">
        <v>74</v>
      </c>
      <c r="V212">
        <v>143817</v>
      </c>
      <c r="W212">
        <v>37</v>
      </c>
      <c r="X212">
        <v>143743</v>
      </c>
      <c r="Y212">
        <v>74</v>
      </c>
      <c r="Z212">
        <v>143817</v>
      </c>
      <c r="AA212">
        <v>250</v>
      </c>
      <c r="AB212">
        <v>250</v>
      </c>
      <c r="AC212">
        <v>0</v>
      </c>
      <c r="AD212">
        <v>0</v>
      </c>
      <c r="AE212">
        <v>0</v>
      </c>
      <c r="AF212">
        <v>13.585000000000001</v>
      </c>
      <c r="AG212">
        <v>5.0000000000000001E-3</v>
      </c>
      <c r="AH212">
        <v>2E-3</v>
      </c>
      <c r="AI212">
        <v>0.189</v>
      </c>
      <c r="AJ212">
        <v>1.2E-2</v>
      </c>
      <c r="AK212">
        <v>0</v>
      </c>
      <c r="AL212">
        <v>0</v>
      </c>
      <c r="AM212">
        <v>0</v>
      </c>
      <c r="AN212">
        <v>13.269</v>
      </c>
      <c r="AO212">
        <v>1.9E-2</v>
      </c>
      <c r="AP212">
        <v>2E-3</v>
      </c>
      <c r="AQ212">
        <v>0</v>
      </c>
      <c r="AR212">
        <v>0</v>
      </c>
      <c r="AS212">
        <v>0</v>
      </c>
      <c r="AT212" t="s">
        <v>243</v>
      </c>
      <c r="AU212" t="s">
        <v>243</v>
      </c>
      <c r="AV212" t="s">
        <v>549</v>
      </c>
    </row>
    <row r="213" spans="1:102" x14ac:dyDescent="0.2">
      <c r="A213" t="s">
        <v>39</v>
      </c>
      <c r="B213" t="s">
        <v>749</v>
      </c>
      <c r="C213" t="s">
        <v>242</v>
      </c>
      <c r="D213" t="s">
        <v>174</v>
      </c>
      <c r="E213" t="s">
        <v>175</v>
      </c>
      <c r="F213" t="s">
        <v>176</v>
      </c>
      <c r="G213">
        <v>0.5</v>
      </c>
      <c r="H213">
        <v>20</v>
      </c>
      <c r="I213" t="s">
        <v>177</v>
      </c>
      <c r="J213" t="s">
        <v>178</v>
      </c>
      <c r="K213" t="s">
        <v>179</v>
      </c>
      <c r="L213" t="s">
        <v>180</v>
      </c>
      <c r="M213">
        <v>16</v>
      </c>
      <c r="N213">
        <v>0.5625</v>
      </c>
      <c r="O213">
        <v>0.75</v>
      </c>
      <c r="P213">
        <v>0.6428571428571429</v>
      </c>
      <c r="Q213">
        <v>15.21</v>
      </c>
      <c r="R213">
        <v>50</v>
      </c>
      <c r="S213">
        <v>50</v>
      </c>
      <c r="T213">
        <v>183331</v>
      </c>
      <c r="U213">
        <v>100</v>
      </c>
      <c r="V213">
        <v>183431</v>
      </c>
      <c r="W213">
        <v>50</v>
      </c>
      <c r="X213">
        <v>183331</v>
      </c>
      <c r="Y213">
        <v>100</v>
      </c>
      <c r="Z213">
        <v>183431</v>
      </c>
      <c r="AA213">
        <v>250</v>
      </c>
      <c r="AB213">
        <v>250</v>
      </c>
      <c r="AC213">
        <v>0</v>
      </c>
      <c r="AD213">
        <v>0</v>
      </c>
      <c r="AE213">
        <v>0</v>
      </c>
      <c r="AF213">
        <v>15.207000000000001</v>
      </c>
      <c r="AG213">
        <v>6.0000000000000001E-3</v>
      </c>
      <c r="AH213">
        <v>1E-3</v>
      </c>
      <c r="AI213">
        <v>0.17799999999999999</v>
      </c>
      <c r="AJ213">
        <v>1.2E-2</v>
      </c>
      <c r="AK213">
        <v>0</v>
      </c>
      <c r="AL213">
        <v>0</v>
      </c>
      <c r="AM213">
        <v>0</v>
      </c>
      <c r="AN213">
        <v>14.776</v>
      </c>
      <c r="AO213">
        <v>6.0999999999999999E-2</v>
      </c>
      <c r="AP213">
        <v>1E-3</v>
      </c>
      <c r="AQ213">
        <v>0</v>
      </c>
      <c r="AR213">
        <v>0</v>
      </c>
      <c r="AS213">
        <v>0</v>
      </c>
      <c r="AT213" t="s">
        <v>243</v>
      </c>
      <c r="AU213" t="s">
        <v>243</v>
      </c>
      <c r="AV213" t="s">
        <v>549</v>
      </c>
    </row>
    <row r="214" spans="1:102" x14ac:dyDescent="0.2">
      <c r="A214" t="s">
        <v>39</v>
      </c>
      <c r="B214" t="s">
        <v>750</v>
      </c>
      <c r="C214" t="s">
        <v>242</v>
      </c>
      <c r="D214" t="s">
        <v>174</v>
      </c>
      <c r="E214" t="s">
        <v>175</v>
      </c>
      <c r="F214" t="s">
        <v>176</v>
      </c>
      <c r="G214">
        <v>0.5</v>
      </c>
      <c r="H214">
        <v>25</v>
      </c>
      <c r="I214" t="s">
        <v>177</v>
      </c>
      <c r="J214" t="s">
        <v>178</v>
      </c>
      <c r="K214" t="s">
        <v>179</v>
      </c>
      <c r="L214" t="s">
        <v>180</v>
      </c>
      <c r="M214">
        <v>17</v>
      </c>
      <c r="N214">
        <v>0.52941176470588236</v>
      </c>
      <c r="O214">
        <v>0.75</v>
      </c>
      <c r="P214">
        <v>0.62068965517241392</v>
      </c>
      <c r="Q214">
        <v>18.13</v>
      </c>
      <c r="R214">
        <v>62</v>
      </c>
      <c r="S214">
        <v>62</v>
      </c>
      <c r="T214">
        <v>217772</v>
      </c>
      <c r="U214">
        <v>124</v>
      </c>
      <c r="V214">
        <v>217896</v>
      </c>
      <c r="W214">
        <v>62</v>
      </c>
      <c r="X214">
        <v>217772</v>
      </c>
      <c r="Y214">
        <v>124</v>
      </c>
      <c r="Z214">
        <v>217896</v>
      </c>
      <c r="AA214">
        <v>250</v>
      </c>
      <c r="AB214">
        <v>250</v>
      </c>
      <c r="AC214">
        <v>0</v>
      </c>
      <c r="AD214">
        <v>0</v>
      </c>
      <c r="AE214">
        <v>0</v>
      </c>
      <c r="AF214">
        <v>18.120999999999999</v>
      </c>
      <c r="AG214">
        <v>0.01</v>
      </c>
      <c r="AH214">
        <v>2E-3</v>
      </c>
      <c r="AI214">
        <v>0.16800000000000001</v>
      </c>
      <c r="AJ214">
        <v>2.1000000000000001E-2</v>
      </c>
      <c r="AK214">
        <v>0</v>
      </c>
      <c r="AL214">
        <v>0</v>
      </c>
      <c r="AM214">
        <v>0</v>
      </c>
      <c r="AN214">
        <v>17.712</v>
      </c>
      <c r="AO214">
        <v>7.0999999999999994E-2</v>
      </c>
      <c r="AP214">
        <v>2E-3</v>
      </c>
      <c r="AQ214">
        <v>0</v>
      </c>
      <c r="AR214">
        <v>0</v>
      </c>
      <c r="AS214">
        <v>0</v>
      </c>
      <c r="AT214" t="s">
        <v>243</v>
      </c>
      <c r="AU214" t="s">
        <v>243</v>
      </c>
      <c r="AV214" t="s">
        <v>549</v>
      </c>
    </row>
    <row r="216" spans="1:102" x14ac:dyDescent="0.2">
      <c r="A216" t="s">
        <v>751</v>
      </c>
    </row>
    <row r="217" spans="1:102" x14ac:dyDescent="0.2">
      <c r="A217" t="s">
        <v>0</v>
      </c>
      <c r="B217" t="s">
        <v>71</v>
      </c>
      <c r="C217" t="s">
        <v>72</v>
      </c>
      <c r="D217" t="s">
        <v>73</v>
      </c>
      <c r="E217" t="s">
        <v>74</v>
      </c>
      <c r="F217" t="s">
        <v>75</v>
      </c>
      <c r="G217" t="s">
        <v>76</v>
      </c>
      <c r="H217" t="s">
        <v>77</v>
      </c>
      <c r="I217" t="s">
        <v>78</v>
      </c>
      <c r="J217" t="s">
        <v>79</v>
      </c>
      <c r="K217" t="s">
        <v>80</v>
      </c>
      <c r="L217" t="s">
        <v>81</v>
      </c>
      <c r="M217" t="s">
        <v>82</v>
      </c>
      <c r="N217" t="s">
        <v>83</v>
      </c>
      <c r="O217" t="s">
        <v>84</v>
      </c>
      <c r="P217" t="s">
        <v>85</v>
      </c>
      <c r="Q217" t="s">
        <v>86</v>
      </c>
      <c r="R217" t="s">
        <v>87</v>
      </c>
      <c r="S217" t="s">
        <v>88</v>
      </c>
      <c r="T217" t="s">
        <v>89</v>
      </c>
      <c r="U217" t="s">
        <v>90</v>
      </c>
      <c r="V217" t="s">
        <v>91</v>
      </c>
      <c r="W217" t="s">
        <v>92</v>
      </c>
      <c r="X217" t="s">
        <v>93</v>
      </c>
      <c r="Y217" t="s">
        <v>94</v>
      </c>
      <c r="Z217" t="s">
        <v>95</v>
      </c>
      <c r="AA217" t="s">
        <v>96</v>
      </c>
      <c r="AB217" t="s">
        <v>97</v>
      </c>
      <c r="AC217" t="s">
        <v>98</v>
      </c>
      <c r="AD217" t="s">
        <v>99</v>
      </c>
      <c r="AE217" t="s">
        <v>100</v>
      </c>
      <c r="AF217" t="s">
        <v>101</v>
      </c>
      <c r="AG217" t="s">
        <v>102</v>
      </c>
      <c r="AH217" t="s">
        <v>103</v>
      </c>
      <c r="AI217" t="s">
        <v>104</v>
      </c>
      <c r="AJ217" t="s">
        <v>105</v>
      </c>
      <c r="AK217" t="s">
        <v>106</v>
      </c>
      <c r="AL217" t="s">
        <v>107</v>
      </c>
      <c r="AM217" t="s">
        <v>108</v>
      </c>
      <c r="AN217" t="s">
        <v>109</v>
      </c>
      <c r="AO217" t="s">
        <v>110</v>
      </c>
      <c r="AP217" t="s">
        <v>111</v>
      </c>
      <c r="AQ217" t="s">
        <v>112</v>
      </c>
      <c r="AR217" t="s">
        <v>113</v>
      </c>
      <c r="AS217" t="s">
        <v>114</v>
      </c>
      <c r="AT217" t="s">
        <v>115</v>
      </c>
      <c r="AU217" t="s">
        <v>116</v>
      </c>
      <c r="AV217" t="s">
        <v>117</v>
      </c>
      <c r="AW217" t="s">
        <v>118</v>
      </c>
      <c r="AX217" t="s">
        <v>119</v>
      </c>
      <c r="AY217" t="s">
        <v>120</v>
      </c>
      <c r="AZ217" t="s">
        <v>121</v>
      </c>
      <c r="BA217" t="s">
        <v>122</v>
      </c>
      <c r="BB217" t="s">
        <v>123</v>
      </c>
      <c r="BC217" t="s">
        <v>124</v>
      </c>
      <c r="BD217" t="s">
        <v>125</v>
      </c>
      <c r="BE217" t="s">
        <v>126</v>
      </c>
      <c r="BF217" t="s">
        <v>127</v>
      </c>
      <c r="BG217" t="s">
        <v>128</v>
      </c>
      <c r="BH217" t="s">
        <v>129</v>
      </c>
      <c r="BI217" t="s">
        <v>130</v>
      </c>
      <c r="BJ217" t="s">
        <v>131</v>
      </c>
      <c r="BK217" t="s">
        <v>132</v>
      </c>
      <c r="BL217" t="s">
        <v>133</v>
      </c>
      <c r="BM217" t="s">
        <v>134</v>
      </c>
      <c r="BN217" t="s">
        <v>135</v>
      </c>
      <c r="BO217" t="s">
        <v>136</v>
      </c>
      <c r="BP217" t="s">
        <v>137</v>
      </c>
      <c r="BQ217" t="s">
        <v>138</v>
      </c>
      <c r="BR217" t="s">
        <v>139</v>
      </c>
      <c r="BS217" t="s">
        <v>140</v>
      </c>
      <c r="BT217" t="s">
        <v>141</v>
      </c>
      <c r="BU217" t="s">
        <v>142</v>
      </c>
      <c r="BV217" t="s">
        <v>143</v>
      </c>
      <c r="BW217" t="s">
        <v>144</v>
      </c>
      <c r="BX217" t="s">
        <v>145</v>
      </c>
      <c r="BY217" t="s">
        <v>146</v>
      </c>
      <c r="BZ217" t="s">
        <v>147</v>
      </c>
      <c r="CA217" t="s">
        <v>148</v>
      </c>
      <c r="CB217" t="s">
        <v>149</v>
      </c>
      <c r="CC217" t="s">
        <v>150</v>
      </c>
      <c r="CD217" t="s">
        <v>151</v>
      </c>
      <c r="CE217" t="s">
        <v>152</v>
      </c>
      <c r="CF217" t="s">
        <v>153</v>
      </c>
      <c r="CG217" t="s">
        <v>154</v>
      </c>
      <c r="CH217" t="s">
        <v>155</v>
      </c>
      <c r="CI217" t="s">
        <v>156</v>
      </c>
      <c r="CJ217" t="s">
        <v>157</v>
      </c>
      <c r="CK217" t="s">
        <v>158</v>
      </c>
      <c r="CL217" t="s">
        <v>159</v>
      </c>
      <c r="CM217" t="s">
        <v>160</v>
      </c>
      <c r="CN217" t="s">
        <v>161</v>
      </c>
      <c r="CO217" t="s">
        <v>162</v>
      </c>
      <c r="CP217" t="s">
        <v>163</v>
      </c>
      <c r="CQ217" t="s">
        <v>164</v>
      </c>
      <c r="CR217" t="s">
        <v>165</v>
      </c>
      <c r="CS217" t="s">
        <v>166</v>
      </c>
      <c r="CT217" t="s">
        <v>167</v>
      </c>
      <c r="CU217" t="s">
        <v>168</v>
      </c>
      <c r="CV217" t="s">
        <v>169</v>
      </c>
      <c r="CW217" t="s">
        <v>170</v>
      </c>
      <c r="CX217" t="s">
        <v>171</v>
      </c>
    </row>
    <row r="218" spans="1:102" x14ac:dyDescent="0.2">
      <c r="A218" t="s">
        <v>45</v>
      </c>
      <c r="B218" t="s">
        <v>752</v>
      </c>
      <c r="C218" t="s">
        <v>242</v>
      </c>
      <c r="D218" t="s">
        <v>174</v>
      </c>
      <c r="E218" t="s">
        <v>175</v>
      </c>
      <c r="F218" t="s">
        <v>176</v>
      </c>
      <c r="G218">
        <v>0.5</v>
      </c>
      <c r="H218">
        <v>5</v>
      </c>
      <c r="I218" t="s">
        <v>177</v>
      </c>
      <c r="J218" t="s">
        <v>178</v>
      </c>
      <c r="K218" t="s">
        <v>179</v>
      </c>
      <c r="L218" t="s">
        <v>180</v>
      </c>
      <c r="M218">
        <v>0</v>
      </c>
      <c r="N218">
        <v>0</v>
      </c>
      <c r="O218">
        <v>0</v>
      </c>
      <c r="P218">
        <v>0</v>
      </c>
      <c r="Q218">
        <v>1.41</v>
      </c>
      <c r="R218">
        <v>13</v>
      </c>
      <c r="S218">
        <v>13</v>
      </c>
      <c r="T218">
        <v>1120</v>
      </c>
      <c r="U218">
        <v>194</v>
      </c>
      <c r="V218">
        <v>1314</v>
      </c>
      <c r="W218">
        <v>1</v>
      </c>
      <c r="X218">
        <v>1120</v>
      </c>
      <c r="Y218">
        <v>194</v>
      </c>
      <c r="Z218">
        <v>1314</v>
      </c>
      <c r="AA218">
        <v>266</v>
      </c>
      <c r="AB218">
        <v>266</v>
      </c>
      <c r="AC218">
        <v>0</v>
      </c>
      <c r="AD218">
        <v>0</v>
      </c>
      <c r="AE218">
        <v>4.0000000000000001E-3</v>
      </c>
      <c r="AF218">
        <v>1.4079999999999999</v>
      </c>
      <c r="AG218">
        <v>0</v>
      </c>
      <c r="AH218">
        <v>0</v>
      </c>
      <c r="AI218">
        <v>0.69699999999999995</v>
      </c>
      <c r="AJ218">
        <v>1E-3</v>
      </c>
      <c r="AK218">
        <v>1E-3</v>
      </c>
      <c r="AL218">
        <v>0</v>
      </c>
      <c r="AM218">
        <v>0</v>
      </c>
      <c r="AN218">
        <v>0.32900000000000001</v>
      </c>
      <c r="AO218">
        <v>1.7000000000000001E-2</v>
      </c>
      <c r="AP218">
        <v>0</v>
      </c>
      <c r="AQ218">
        <v>0</v>
      </c>
      <c r="AR218">
        <v>0</v>
      </c>
      <c r="AS218">
        <v>0</v>
      </c>
      <c r="AT218" t="s">
        <v>243</v>
      </c>
      <c r="AU218" t="s">
        <v>243</v>
      </c>
      <c r="AV218" t="s">
        <v>549</v>
      </c>
    </row>
    <row r="219" spans="1:102" x14ac:dyDescent="0.2">
      <c r="A219" t="s">
        <v>45</v>
      </c>
      <c r="B219" t="s">
        <v>753</v>
      </c>
      <c r="C219" t="s">
        <v>242</v>
      </c>
      <c r="D219" t="s">
        <v>174</v>
      </c>
      <c r="E219" t="s">
        <v>175</v>
      </c>
      <c r="F219" t="s">
        <v>176</v>
      </c>
      <c r="G219">
        <v>0.5</v>
      </c>
      <c r="H219">
        <v>10</v>
      </c>
      <c r="I219" t="s">
        <v>177</v>
      </c>
      <c r="J219" t="s">
        <v>178</v>
      </c>
      <c r="K219" t="s">
        <v>179</v>
      </c>
      <c r="L219" t="s">
        <v>180</v>
      </c>
      <c r="M219">
        <v>0</v>
      </c>
      <c r="N219">
        <v>0</v>
      </c>
      <c r="O219">
        <v>0</v>
      </c>
      <c r="P219">
        <v>0</v>
      </c>
      <c r="Q219">
        <v>0.74</v>
      </c>
      <c r="R219">
        <v>26</v>
      </c>
      <c r="S219">
        <v>26</v>
      </c>
      <c r="T219">
        <v>2227</v>
      </c>
      <c r="U219">
        <v>360</v>
      </c>
      <c r="V219">
        <v>2587</v>
      </c>
      <c r="W219">
        <v>1</v>
      </c>
      <c r="X219">
        <v>2227</v>
      </c>
      <c r="Y219">
        <v>360</v>
      </c>
      <c r="Z219">
        <v>2587</v>
      </c>
      <c r="AA219">
        <v>266</v>
      </c>
      <c r="AB219">
        <v>266</v>
      </c>
      <c r="AC219">
        <v>0</v>
      </c>
      <c r="AD219">
        <v>0</v>
      </c>
      <c r="AE219">
        <v>2E-3</v>
      </c>
      <c r="AF219">
        <v>0.73899999999999999</v>
      </c>
      <c r="AG219">
        <v>0</v>
      </c>
      <c r="AH219">
        <v>0</v>
      </c>
      <c r="AI219">
        <v>0.35899999999999999</v>
      </c>
      <c r="AJ219">
        <v>0</v>
      </c>
      <c r="AK219">
        <v>2E-3</v>
      </c>
      <c r="AL219">
        <v>0</v>
      </c>
      <c r="AM219">
        <v>0</v>
      </c>
      <c r="AN219">
        <v>0.20899999999999999</v>
      </c>
      <c r="AO219">
        <v>8.9999999999999993E-3</v>
      </c>
      <c r="AP219">
        <v>0</v>
      </c>
      <c r="AQ219">
        <v>0</v>
      </c>
      <c r="AR219">
        <v>0</v>
      </c>
      <c r="AS219">
        <v>0</v>
      </c>
      <c r="AT219" t="s">
        <v>243</v>
      </c>
      <c r="AU219" t="s">
        <v>243</v>
      </c>
      <c r="AV219" t="s">
        <v>549</v>
      </c>
    </row>
    <row r="220" spans="1:102" x14ac:dyDescent="0.2">
      <c r="A220" t="s">
        <v>45</v>
      </c>
      <c r="B220" t="s">
        <v>754</v>
      </c>
      <c r="C220" t="s">
        <v>242</v>
      </c>
      <c r="D220" t="s">
        <v>174</v>
      </c>
      <c r="E220" t="s">
        <v>175</v>
      </c>
      <c r="F220" t="s">
        <v>176</v>
      </c>
      <c r="G220">
        <v>0.5</v>
      </c>
      <c r="H220">
        <v>15</v>
      </c>
      <c r="I220" t="s">
        <v>177</v>
      </c>
      <c r="J220" t="s">
        <v>178</v>
      </c>
      <c r="K220" t="s">
        <v>179</v>
      </c>
      <c r="L220" t="s">
        <v>180</v>
      </c>
      <c r="M220">
        <v>14</v>
      </c>
      <c r="N220">
        <v>7.1428571428571425E-2</v>
      </c>
      <c r="O220">
        <v>0.5</v>
      </c>
      <c r="P220">
        <v>0.125</v>
      </c>
      <c r="Q220">
        <v>0.96</v>
      </c>
      <c r="R220">
        <v>39</v>
      </c>
      <c r="S220">
        <v>39</v>
      </c>
      <c r="T220">
        <v>3326</v>
      </c>
      <c r="U220">
        <v>568</v>
      </c>
      <c r="V220">
        <v>3894</v>
      </c>
      <c r="W220">
        <v>2</v>
      </c>
      <c r="X220">
        <v>3326</v>
      </c>
      <c r="Y220">
        <v>568</v>
      </c>
      <c r="Z220">
        <v>3894</v>
      </c>
      <c r="AA220">
        <v>266</v>
      </c>
      <c r="AB220">
        <v>266</v>
      </c>
      <c r="AC220">
        <v>0</v>
      </c>
      <c r="AD220">
        <v>0</v>
      </c>
      <c r="AE220">
        <v>2E-3</v>
      </c>
      <c r="AF220">
        <v>0.95399999999999996</v>
      </c>
      <c r="AG220">
        <v>7.0000000000000001E-3</v>
      </c>
      <c r="AH220">
        <v>2E-3</v>
      </c>
      <c r="AI220">
        <v>0.3</v>
      </c>
      <c r="AJ220">
        <v>0</v>
      </c>
      <c r="AK220">
        <v>2E-3</v>
      </c>
      <c r="AL220">
        <v>0</v>
      </c>
      <c r="AM220">
        <v>0</v>
      </c>
      <c r="AN220">
        <v>0.23</v>
      </c>
      <c r="AO220">
        <v>9.4E-2</v>
      </c>
      <c r="AP220">
        <v>2E-3</v>
      </c>
      <c r="AQ220">
        <v>0</v>
      </c>
      <c r="AR220">
        <v>0</v>
      </c>
      <c r="AS220">
        <v>0</v>
      </c>
      <c r="AT220" t="s">
        <v>243</v>
      </c>
      <c r="AU220" t="s">
        <v>243</v>
      </c>
      <c r="AV220" t="s">
        <v>549</v>
      </c>
    </row>
    <row r="221" spans="1:102" x14ac:dyDescent="0.2">
      <c r="A221" t="s">
        <v>45</v>
      </c>
      <c r="B221" t="s">
        <v>755</v>
      </c>
      <c r="C221" t="s">
        <v>242</v>
      </c>
      <c r="D221" t="s">
        <v>174</v>
      </c>
      <c r="E221" t="s">
        <v>175</v>
      </c>
      <c r="F221" t="s">
        <v>176</v>
      </c>
      <c r="G221">
        <v>0.5</v>
      </c>
      <c r="H221">
        <v>20</v>
      </c>
      <c r="I221" t="s">
        <v>177</v>
      </c>
      <c r="J221" t="s">
        <v>178</v>
      </c>
      <c r="K221" t="s">
        <v>179</v>
      </c>
      <c r="L221" t="s">
        <v>180</v>
      </c>
      <c r="M221">
        <v>14</v>
      </c>
      <c r="N221">
        <v>7.1428571428571425E-2</v>
      </c>
      <c r="O221">
        <v>0.5</v>
      </c>
      <c r="P221">
        <v>0.125</v>
      </c>
      <c r="Q221">
        <v>0.76</v>
      </c>
      <c r="R221">
        <v>53</v>
      </c>
      <c r="S221">
        <v>53</v>
      </c>
      <c r="T221">
        <v>4524</v>
      </c>
      <c r="U221">
        <v>722</v>
      </c>
      <c r="V221">
        <v>5246</v>
      </c>
      <c r="W221">
        <v>2</v>
      </c>
      <c r="X221">
        <v>4524</v>
      </c>
      <c r="Y221">
        <v>722</v>
      </c>
      <c r="Z221">
        <v>5246</v>
      </c>
      <c r="AA221">
        <v>266</v>
      </c>
      <c r="AB221">
        <v>266</v>
      </c>
      <c r="AC221">
        <v>0</v>
      </c>
      <c r="AD221">
        <v>0</v>
      </c>
      <c r="AE221">
        <v>1E-3</v>
      </c>
      <c r="AF221">
        <v>0.751</v>
      </c>
      <c r="AG221">
        <v>0.01</v>
      </c>
      <c r="AH221">
        <v>2E-3</v>
      </c>
      <c r="AI221">
        <v>0.26300000000000001</v>
      </c>
      <c r="AJ221">
        <v>0</v>
      </c>
      <c r="AK221">
        <v>2E-3</v>
      </c>
      <c r="AL221">
        <v>0</v>
      </c>
      <c r="AM221">
        <v>0</v>
      </c>
      <c r="AN221">
        <v>0.24299999999999999</v>
      </c>
      <c r="AO221">
        <v>4.3999999999999997E-2</v>
      </c>
      <c r="AP221">
        <v>2E-3</v>
      </c>
      <c r="AQ221">
        <v>0</v>
      </c>
      <c r="AR221">
        <v>0</v>
      </c>
      <c r="AS221">
        <v>0</v>
      </c>
      <c r="AT221" t="s">
        <v>243</v>
      </c>
      <c r="AU221" t="s">
        <v>243</v>
      </c>
      <c r="AV221" t="s">
        <v>549</v>
      </c>
    </row>
    <row r="222" spans="1:102" x14ac:dyDescent="0.2">
      <c r="A222" t="s">
        <v>45</v>
      </c>
      <c r="B222" t="s">
        <v>756</v>
      </c>
      <c r="C222" t="s">
        <v>242</v>
      </c>
      <c r="D222" t="s">
        <v>174</v>
      </c>
      <c r="E222" t="s">
        <v>175</v>
      </c>
      <c r="F222" t="s">
        <v>176</v>
      </c>
      <c r="G222">
        <v>0.5</v>
      </c>
      <c r="H222">
        <v>25</v>
      </c>
      <c r="I222" t="s">
        <v>177</v>
      </c>
      <c r="J222" t="s">
        <v>178</v>
      </c>
      <c r="K222" t="s">
        <v>179</v>
      </c>
      <c r="L222" t="s">
        <v>180</v>
      </c>
      <c r="M222">
        <v>14</v>
      </c>
      <c r="N222">
        <v>7.1428571428571425E-2</v>
      </c>
      <c r="O222">
        <v>0.5</v>
      </c>
      <c r="P222">
        <v>0.125</v>
      </c>
      <c r="Q222">
        <v>0.79</v>
      </c>
      <c r="R222">
        <v>66</v>
      </c>
      <c r="S222">
        <v>66</v>
      </c>
      <c r="T222">
        <v>5637</v>
      </c>
      <c r="U222">
        <v>902</v>
      </c>
      <c r="V222">
        <v>6539</v>
      </c>
      <c r="W222">
        <v>3</v>
      </c>
      <c r="X222">
        <v>5637</v>
      </c>
      <c r="Y222">
        <v>902</v>
      </c>
      <c r="Z222">
        <v>6539</v>
      </c>
      <c r="AA222">
        <v>266</v>
      </c>
      <c r="AB222">
        <v>266</v>
      </c>
      <c r="AC222">
        <v>0</v>
      </c>
      <c r="AD222">
        <v>0</v>
      </c>
      <c r="AE222">
        <v>1E-3</v>
      </c>
      <c r="AF222">
        <v>0.78600000000000003</v>
      </c>
      <c r="AG222">
        <v>6.0000000000000001E-3</v>
      </c>
      <c r="AH222">
        <v>1E-3</v>
      </c>
      <c r="AI222">
        <v>0.27600000000000002</v>
      </c>
      <c r="AJ222">
        <v>0</v>
      </c>
      <c r="AK222">
        <v>2E-3</v>
      </c>
      <c r="AL222">
        <v>0</v>
      </c>
      <c r="AM222">
        <v>0</v>
      </c>
      <c r="AN222">
        <v>0.317</v>
      </c>
      <c r="AO222">
        <v>1.7999999999999999E-2</v>
      </c>
      <c r="AP222">
        <v>1E-3</v>
      </c>
      <c r="AQ222">
        <v>0</v>
      </c>
      <c r="AR222">
        <v>0</v>
      </c>
      <c r="AS222">
        <v>0</v>
      </c>
      <c r="AT222" t="s">
        <v>243</v>
      </c>
      <c r="AU222" t="s">
        <v>243</v>
      </c>
      <c r="AV222" t="s">
        <v>549</v>
      </c>
    </row>
    <row r="223" spans="1:102" x14ac:dyDescent="0.2">
      <c r="A223" t="s">
        <v>46</v>
      </c>
      <c r="B223" t="s">
        <v>757</v>
      </c>
      <c r="C223" t="s">
        <v>242</v>
      </c>
      <c r="D223" t="s">
        <v>174</v>
      </c>
      <c r="E223" t="s">
        <v>175</v>
      </c>
      <c r="F223" t="s">
        <v>176</v>
      </c>
      <c r="G223">
        <v>0.5</v>
      </c>
      <c r="H223">
        <v>5</v>
      </c>
      <c r="I223" t="s">
        <v>177</v>
      </c>
      <c r="J223" t="s">
        <v>178</v>
      </c>
      <c r="K223" t="s">
        <v>179</v>
      </c>
      <c r="L223" t="s">
        <v>180</v>
      </c>
      <c r="M223">
        <v>422</v>
      </c>
      <c r="N223">
        <v>1.6587677725118481E-2</v>
      </c>
      <c r="O223">
        <v>1</v>
      </c>
      <c r="P223">
        <v>3.2634032634032639E-2</v>
      </c>
      <c r="Q223">
        <v>0.98</v>
      </c>
      <c r="R223">
        <v>71</v>
      </c>
      <c r="S223">
        <v>71</v>
      </c>
      <c r="T223">
        <v>7035</v>
      </c>
      <c r="U223">
        <v>226</v>
      </c>
      <c r="V223">
        <v>7261</v>
      </c>
      <c r="W223">
        <v>3</v>
      </c>
      <c r="X223">
        <v>7035</v>
      </c>
      <c r="Y223">
        <v>226</v>
      </c>
      <c r="Z223">
        <v>7261</v>
      </c>
      <c r="AA223">
        <v>1426</v>
      </c>
      <c r="AB223">
        <v>1426</v>
      </c>
      <c r="AC223">
        <v>0</v>
      </c>
      <c r="AD223">
        <v>0</v>
      </c>
      <c r="AE223">
        <v>0.01</v>
      </c>
      <c r="AF223">
        <v>0.95499999999999996</v>
      </c>
      <c r="AG223">
        <v>5.0000000000000001E-3</v>
      </c>
      <c r="AH223">
        <v>8.0000000000000002E-3</v>
      </c>
      <c r="AI223">
        <v>0.29399999999999998</v>
      </c>
      <c r="AJ223">
        <v>1.6E-2</v>
      </c>
      <c r="AK223">
        <v>7.0000000000000001E-3</v>
      </c>
      <c r="AL223">
        <v>0</v>
      </c>
      <c r="AM223">
        <v>0</v>
      </c>
      <c r="AN223">
        <v>0.372</v>
      </c>
      <c r="AO223">
        <v>3.3000000000000002E-2</v>
      </c>
      <c r="AP223">
        <v>8.0000000000000002E-3</v>
      </c>
      <c r="AQ223">
        <v>0</v>
      </c>
      <c r="AR223">
        <v>0</v>
      </c>
      <c r="AS223">
        <v>0</v>
      </c>
      <c r="AT223" t="s">
        <v>243</v>
      </c>
      <c r="AU223" t="s">
        <v>243</v>
      </c>
      <c r="AV223" t="s">
        <v>549</v>
      </c>
    </row>
    <row r="224" spans="1:102" x14ac:dyDescent="0.2">
      <c r="A224" t="s">
        <v>46</v>
      </c>
      <c r="B224" t="s">
        <v>758</v>
      </c>
      <c r="C224" t="s">
        <v>242</v>
      </c>
      <c r="D224" t="s">
        <v>174</v>
      </c>
      <c r="E224" t="s">
        <v>175</v>
      </c>
      <c r="F224" t="s">
        <v>176</v>
      </c>
      <c r="G224">
        <v>0.5</v>
      </c>
      <c r="H224">
        <v>10</v>
      </c>
      <c r="I224" t="s">
        <v>177</v>
      </c>
      <c r="J224" t="s">
        <v>178</v>
      </c>
      <c r="K224" t="s">
        <v>179</v>
      </c>
      <c r="L224" t="s">
        <v>180</v>
      </c>
      <c r="M224">
        <v>319</v>
      </c>
      <c r="N224">
        <v>2.1943573667711599E-2</v>
      </c>
      <c r="O224">
        <v>1</v>
      </c>
      <c r="P224">
        <v>4.2944785276073622E-2</v>
      </c>
      <c r="Q224">
        <v>0.88</v>
      </c>
      <c r="R224">
        <v>142</v>
      </c>
      <c r="S224">
        <v>142</v>
      </c>
      <c r="T224">
        <v>14025</v>
      </c>
      <c r="U224">
        <v>466</v>
      </c>
      <c r="V224">
        <v>14491</v>
      </c>
      <c r="W224">
        <v>5</v>
      </c>
      <c r="X224">
        <v>14025</v>
      </c>
      <c r="Y224">
        <v>466</v>
      </c>
      <c r="Z224">
        <v>14491</v>
      </c>
      <c r="AA224">
        <v>1426</v>
      </c>
      <c r="AB224">
        <v>1426</v>
      </c>
      <c r="AC224">
        <v>0</v>
      </c>
      <c r="AD224">
        <v>0</v>
      </c>
      <c r="AE224">
        <v>7.0000000000000001E-3</v>
      </c>
      <c r="AF224">
        <v>0.82899999999999996</v>
      </c>
      <c r="AG224">
        <v>4.3999999999999997E-2</v>
      </c>
      <c r="AH224">
        <v>4.0000000000000001E-3</v>
      </c>
      <c r="AI224">
        <v>0.21099999999999999</v>
      </c>
      <c r="AJ224">
        <v>1.6E-2</v>
      </c>
      <c r="AK224">
        <v>1.2E-2</v>
      </c>
      <c r="AL224">
        <v>0</v>
      </c>
      <c r="AM224">
        <v>1E-3</v>
      </c>
      <c r="AN224">
        <v>0.435</v>
      </c>
      <c r="AO224">
        <v>1.6E-2</v>
      </c>
      <c r="AP224">
        <v>4.0000000000000001E-3</v>
      </c>
      <c r="AQ224">
        <v>0</v>
      </c>
      <c r="AR224">
        <v>0</v>
      </c>
      <c r="AS224">
        <v>0</v>
      </c>
      <c r="AT224" t="s">
        <v>243</v>
      </c>
      <c r="AU224" t="s">
        <v>243</v>
      </c>
      <c r="AV224" t="s">
        <v>549</v>
      </c>
    </row>
    <row r="225" spans="1:102" x14ac:dyDescent="0.2">
      <c r="A225" t="s">
        <v>46</v>
      </c>
      <c r="B225" t="s">
        <v>759</v>
      </c>
      <c r="C225" t="s">
        <v>242</v>
      </c>
      <c r="D225" t="s">
        <v>174</v>
      </c>
      <c r="E225" t="s">
        <v>175</v>
      </c>
      <c r="F225" t="s">
        <v>176</v>
      </c>
      <c r="G225">
        <v>0.5</v>
      </c>
      <c r="H225">
        <v>15</v>
      </c>
      <c r="I225" t="s">
        <v>177</v>
      </c>
      <c r="J225" t="s">
        <v>178</v>
      </c>
      <c r="K225" t="s">
        <v>179</v>
      </c>
      <c r="L225" t="s">
        <v>180</v>
      </c>
      <c r="M225">
        <v>343</v>
      </c>
      <c r="N225">
        <v>2.0408163265306121E-2</v>
      </c>
      <c r="O225">
        <v>1</v>
      </c>
      <c r="P225">
        <v>3.9999999999999987E-2</v>
      </c>
      <c r="Q225">
        <v>0.99</v>
      </c>
      <c r="R225">
        <v>213</v>
      </c>
      <c r="S225">
        <v>213</v>
      </c>
      <c r="T225">
        <v>21025</v>
      </c>
      <c r="U225">
        <v>622</v>
      </c>
      <c r="V225">
        <v>21647</v>
      </c>
      <c r="W225">
        <v>7</v>
      </c>
      <c r="X225">
        <v>21025</v>
      </c>
      <c r="Y225">
        <v>622</v>
      </c>
      <c r="Z225">
        <v>21647</v>
      </c>
      <c r="AA225">
        <v>1426</v>
      </c>
      <c r="AB225">
        <v>1426</v>
      </c>
      <c r="AC225">
        <v>0</v>
      </c>
      <c r="AD225">
        <v>0</v>
      </c>
      <c r="AE225">
        <v>4.0000000000000001E-3</v>
      </c>
      <c r="AF225">
        <v>0.97199999999999998</v>
      </c>
      <c r="AG225">
        <v>7.0000000000000001E-3</v>
      </c>
      <c r="AH225">
        <v>3.0000000000000001E-3</v>
      </c>
      <c r="AI225">
        <v>0.218</v>
      </c>
      <c r="AJ225">
        <v>1.6E-2</v>
      </c>
      <c r="AK225">
        <v>1.2E-2</v>
      </c>
      <c r="AL225">
        <v>0</v>
      </c>
      <c r="AM225">
        <v>1E-3</v>
      </c>
      <c r="AN225">
        <v>0.51800000000000002</v>
      </c>
      <c r="AO225">
        <v>2.1000000000000001E-2</v>
      </c>
      <c r="AP225">
        <v>3.0000000000000001E-3</v>
      </c>
      <c r="AQ225">
        <v>0</v>
      </c>
      <c r="AR225">
        <v>0</v>
      </c>
      <c r="AS225">
        <v>0</v>
      </c>
      <c r="AT225" t="s">
        <v>243</v>
      </c>
      <c r="AU225" t="s">
        <v>243</v>
      </c>
      <c r="AV225" t="s">
        <v>549</v>
      </c>
    </row>
    <row r="226" spans="1:102" x14ac:dyDescent="0.2">
      <c r="A226" t="s">
        <v>46</v>
      </c>
      <c r="B226" t="s">
        <v>760</v>
      </c>
      <c r="C226" t="s">
        <v>242</v>
      </c>
      <c r="D226" t="s">
        <v>174</v>
      </c>
      <c r="E226" t="s">
        <v>175</v>
      </c>
      <c r="F226" t="s">
        <v>176</v>
      </c>
      <c r="G226">
        <v>0.5</v>
      </c>
      <c r="H226">
        <v>20</v>
      </c>
      <c r="I226" t="s">
        <v>177</v>
      </c>
      <c r="J226" t="s">
        <v>178</v>
      </c>
      <c r="K226" t="s">
        <v>179</v>
      </c>
      <c r="L226" t="s">
        <v>180</v>
      </c>
      <c r="M226">
        <v>251</v>
      </c>
      <c r="N226">
        <v>2.7888446215139438E-2</v>
      </c>
      <c r="O226">
        <v>1</v>
      </c>
      <c r="P226">
        <v>5.4263565891472867E-2</v>
      </c>
      <c r="Q226">
        <v>1.1000000000000001</v>
      </c>
      <c r="R226">
        <v>285</v>
      </c>
      <c r="S226">
        <v>285</v>
      </c>
      <c r="T226">
        <v>28118</v>
      </c>
      <c r="U226">
        <v>808</v>
      </c>
      <c r="V226">
        <v>28926</v>
      </c>
      <c r="W226">
        <v>9</v>
      </c>
      <c r="X226">
        <v>28118</v>
      </c>
      <c r="Y226">
        <v>808</v>
      </c>
      <c r="Z226">
        <v>28926</v>
      </c>
      <c r="AA226">
        <v>1426</v>
      </c>
      <c r="AB226">
        <v>1426</v>
      </c>
      <c r="AC226">
        <v>0</v>
      </c>
      <c r="AD226">
        <v>0</v>
      </c>
      <c r="AE226">
        <v>4.0000000000000001E-3</v>
      </c>
      <c r="AF226">
        <v>1.0760000000000001</v>
      </c>
      <c r="AG226">
        <v>1.9E-2</v>
      </c>
      <c r="AH226">
        <v>5.0000000000000001E-3</v>
      </c>
      <c r="AI226">
        <v>0.20399999999999999</v>
      </c>
      <c r="AJ226">
        <v>2.4E-2</v>
      </c>
      <c r="AK226">
        <v>1.2E-2</v>
      </c>
      <c r="AL226">
        <v>0</v>
      </c>
      <c r="AM226">
        <v>1E-3</v>
      </c>
      <c r="AN226">
        <v>0.59299999999999997</v>
      </c>
      <c r="AO226">
        <v>3.3000000000000002E-2</v>
      </c>
      <c r="AP226">
        <v>5.0000000000000001E-3</v>
      </c>
      <c r="AQ226">
        <v>0</v>
      </c>
      <c r="AR226">
        <v>0</v>
      </c>
      <c r="AS226">
        <v>0</v>
      </c>
      <c r="AT226" t="s">
        <v>243</v>
      </c>
      <c r="AU226" t="s">
        <v>243</v>
      </c>
      <c r="AV226" t="s">
        <v>549</v>
      </c>
    </row>
    <row r="227" spans="1:102" x14ac:dyDescent="0.2">
      <c r="A227" t="s">
        <v>46</v>
      </c>
      <c r="B227" t="s">
        <v>761</v>
      </c>
      <c r="C227" t="s">
        <v>242</v>
      </c>
      <c r="D227" t="s">
        <v>174</v>
      </c>
      <c r="E227" t="s">
        <v>175</v>
      </c>
      <c r="F227" t="s">
        <v>176</v>
      </c>
      <c r="G227">
        <v>0.5</v>
      </c>
      <c r="H227">
        <v>25</v>
      </c>
      <c r="I227" t="s">
        <v>177</v>
      </c>
      <c r="J227" t="s">
        <v>178</v>
      </c>
      <c r="K227" t="s">
        <v>179</v>
      </c>
      <c r="L227" t="s">
        <v>180</v>
      </c>
      <c r="M227">
        <v>277</v>
      </c>
      <c r="N227">
        <v>2.5270758122743681E-2</v>
      </c>
      <c r="O227">
        <v>1</v>
      </c>
      <c r="P227">
        <v>4.9295774647887328E-2</v>
      </c>
      <c r="Q227">
        <v>1.06</v>
      </c>
      <c r="R227">
        <v>356</v>
      </c>
      <c r="S227">
        <v>356</v>
      </c>
      <c r="T227">
        <v>35115</v>
      </c>
      <c r="U227">
        <v>950</v>
      </c>
      <c r="V227">
        <v>36065</v>
      </c>
      <c r="W227">
        <v>12</v>
      </c>
      <c r="X227">
        <v>35115</v>
      </c>
      <c r="Y227">
        <v>950</v>
      </c>
      <c r="Z227">
        <v>36065</v>
      </c>
      <c r="AA227">
        <v>1426</v>
      </c>
      <c r="AB227">
        <v>1426</v>
      </c>
      <c r="AC227">
        <v>0</v>
      </c>
      <c r="AD227">
        <v>0</v>
      </c>
      <c r="AE227">
        <v>4.0000000000000001E-3</v>
      </c>
      <c r="AF227">
        <v>1.032</v>
      </c>
      <c r="AG227">
        <v>1.2999999999999999E-2</v>
      </c>
      <c r="AH227">
        <v>8.0000000000000002E-3</v>
      </c>
      <c r="AI227">
        <v>0.214</v>
      </c>
      <c r="AJ227">
        <v>8.0000000000000002E-3</v>
      </c>
      <c r="AK227">
        <v>1.2E-2</v>
      </c>
      <c r="AL227">
        <v>0</v>
      </c>
      <c r="AM227">
        <v>1E-3</v>
      </c>
      <c r="AN227">
        <v>0.60299999999999998</v>
      </c>
      <c r="AO227">
        <v>3.2000000000000001E-2</v>
      </c>
      <c r="AP227">
        <v>8.0000000000000002E-3</v>
      </c>
      <c r="AQ227">
        <v>0</v>
      </c>
      <c r="AR227">
        <v>0</v>
      </c>
      <c r="AS227">
        <v>0</v>
      </c>
      <c r="AT227" t="s">
        <v>243</v>
      </c>
      <c r="AU227" t="s">
        <v>243</v>
      </c>
      <c r="AV227" t="s">
        <v>549</v>
      </c>
    </row>
    <row r="228" spans="1:102" x14ac:dyDescent="0.2">
      <c r="A228" t="s">
        <v>47</v>
      </c>
      <c r="B228" t="s">
        <v>762</v>
      </c>
      <c r="C228" t="s">
        <v>242</v>
      </c>
      <c r="D228" t="s">
        <v>174</v>
      </c>
      <c r="E228" t="s">
        <v>175</v>
      </c>
      <c r="F228" t="s">
        <v>176</v>
      </c>
      <c r="G228">
        <v>0.5</v>
      </c>
      <c r="H228">
        <v>5</v>
      </c>
      <c r="I228" t="s">
        <v>177</v>
      </c>
      <c r="J228" t="s">
        <v>178</v>
      </c>
      <c r="K228" t="s">
        <v>179</v>
      </c>
      <c r="L228" t="s">
        <v>180</v>
      </c>
      <c r="M228">
        <v>188</v>
      </c>
      <c r="N228">
        <v>3.1914893617021267E-2</v>
      </c>
      <c r="O228">
        <v>0.75</v>
      </c>
      <c r="P228">
        <v>6.1224489795918373E-2</v>
      </c>
      <c r="Q228">
        <v>0.63</v>
      </c>
      <c r="R228">
        <v>13</v>
      </c>
      <c r="S228">
        <v>13</v>
      </c>
      <c r="T228">
        <v>1966</v>
      </c>
      <c r="U228">
        <v>26</v>
      </c>
      <c r="V228">
        <v>1992</v>
      </c>
      <c r="W228">
        <v>1</v>
      </c>
      <c r="X228">
        <v>1966</v>
      </c>
      <c r="Y228">
        <v>26</v>
      </c>
      <c r="Z228">
        <v>1992</v>
      </c>
      <c r="AA228">
        <v>270</v>
      </c>
      <c r="AB228">
        <v>270</v>
      </c>
      <c r="AC228">
        <v>0</v>
      </c>
      <c r="AD228">
        <v>0</v>
      </c>
      <c r="AE228">
        <v>4.0000000000000001E-3</v>
      </c>
      <c r="AF228">
        <v>0.62</v>
      </c>
      <c r="AG228">
        <v>3.0000000000000001E-3</v>
      </c>
      <c r="AH228">
        <v>2E-3</v>
      </c>
      <c r="AI228">
        <v>0.222</v>
      </c>
      <c r="AJ228">
        <v>1E-3</v>
      </c>
      <c r="AK228">
        <v>0.01</v>
      </c>
      <c r="AL228">
        <v>0</v>
      </c>
      <c r="AM228">
        <v>0</v>
      </c>
      <c r="AN228">
        <v>0.13100000000000001</v>
      </c>
      <c r="AO228">
        <v>1.7000000000000001E-2</v>
      </c>
      <c r="AP228">
        <v>2E-3</v>
      </c>
      <c r="AQ228">
        <v>0</v>
      </c>
      <c r="AR228">
        <v>0</v>
      </c>
      <c r="AS228">
        <v>0</v>
      </c>
      <c r="AT228" t="s">
        <v>243</v>
      </c>
      <c r="AU228" t="s">
        <v>243</v>
      </c>
      <c r="AV228" t="s">
        <v>549</v>
      </c>
    </row>
    <row r="229" spans="1:102" x14ac:dyDescent="0.2">
      <c r="A229" t="s">
        <v>47</v>
      </c>
      <c r="B229" t="s">
        <v>763</v>
      </c>
      <c r="C229" t="s">
        <v>242</v>
      </c>
      <c r="D229" t="s">
        <v>174</v>
      </c>
      <c r="E229" t="s">
        <v>175</v>
      </c>
      <c r="F229" t="s">
        <v>176</v>
      </c>
      <c r="G229">
        <v>0.5</v>
      </c>
      <c r="H229">
        <v>10</v>
      </c>
      <c r="I229" t="s">
        <v>177</v>
      </c>
      <c r="J229" t="s">
        <v>178</v>
      </c>
      <c r="K229" t="s">
        <v>179</v>
      </c>
      <c r="L229" t="s">
        <v>180</v>
      </c>
      <c r="M229">
        <v>143</v>
      </c>
      <c r="N229">
        <v>4.195804195804196E-2</v>
      </c>
      <c r="O229">
        <v>0.75</v>
      </c>
      <c r="P229">
        <v>7.9470198675496692E-2</v>
      </c>
      <c r="Q229">
        <v>0.59</v>
      </c>
      <c r="R229">
        <v>27</v>
      </c>
      <c r="S229">
        <v>27</v>
      </c>
      <c r="T229">
        <v>4091</v>
      </c>
      <c r="U229">
        <v>54</v>
      </c>
      <c r="V229">
        <v>4145</v>
      </c>
      <c r="W229">
        <v>1</v>
      </c>
      <c r="X229">
        <v>4091</v>
      </c>
      <c r="Y229">
        <v>54</v>
      </c>
      <c r="Z229">
        <v>4145</v>
      </c>
      <c r="AA229">
        <v>270</v>
      </c>
      <c r="AB229">
        <v>270</v>
      </c>
      <c r="AC229">
        <v>0</v>
      </c>
      <c r="AD229">
        <v>0</v>
      </c>
      <c r="AE229">
        <v>1E-3</v>
      </c>
      <c r="AF229">
        <v>0.58799999999999997</v>
      </c>
      <c r="AG229">
        <v>3.0000000000000001E-3</v>
      </c>
      <c r="AH229">
        <v>1E-3</v>
      </c>
      <c r="AI229">
        <v>0.17</v>
      </c>
      <c r="AJ229">
        <v>1E-3</v>
      </c>
      <c r="AK229">
        <v>0.01</v>
      </c>
      <c r="AL229">
        <v>0</v>
      </c>
      <c r="AM229">
        <v>0</v>
      </c>
      <c r="AN229">
        <v>0.14199999999999999</v>
      </c>
      <c r="AO229">
        <v>6.2E-2</v>
      </c>
      <c r="AP229">
        <v>1E-3</v>
      </c>
      <c r="AQ229">
        <v>0</v>
      </c>
      <c r="AR229">
        <v>0</v>
      </c>
      <c r="AS229">
        <v>0</v>
      </c>
      <c r="AT229" t="s">
        <v>243</v>
      </c>
      <c r="AU229" t="s">
        <v>243</v>
      </c>
      <c r="AV229" t="s">
        <v>549</v>
      </c>
    </row>
    <row r="230" spans="1:102" x14ac:dyDescent="0.2">
      <c r="A230" t="s">
        <v>47</v>
      </c>
      <c r="B230" t="s">
        <v>764</v>
      </c>
      <c r="C230" t="s">
        <v>242</v>
      </c>
      <c r="D230" t="s">
        <v>174</v>
      </c>
      <c r="E230" t="s">
        <v>175</v>
      </c>
      <c r="F230" t="s">
        <v>176</v>
      </c>
      <c r="G230">
        <v>0.5</v>
      </c>
      <c r="H230">
        <v>15</v>
      </c>
      <c r="I230" t="s">
        <v>177</v>
      </c>
      <c r="J230" t="s">
        <v>178</v>
      </c>
      <c r="K230" t="s">
        <v>179</v>
      </c>
      <c r="L230" t="s">
        <v>180</v>
      </c>
      <c r="M230">
        <v>125</v>
      </c>
      <c r="N230">
        <v>4.8000000000000001E-2</v>
      </c>
      <c r="O230">
        <v>0.75</v>
      </c>
      <c r="P230">
        <v>9.0225563909774445E-2</v>
      </c>
      <c r="Q230">
        <v>0.49</v>
      </c>
      <c r="R230">
        <v>40</v>
      </c>
      <c r="S230">
        <v>40</v>
      </c>
      <c r="T230">
        <v>6038</v>
      </c>
      <c r="U230">
        <v>80</v>
      </c>
      <c r="V230">
        <v>6118</v>
      </c>
      <c r="W230">
        <v>2</v>
      </c>
      <c r="X230">
        <v>6038</v>
      </c>
      <c r="Y230">
        <v>80</v>
      </c>
      <c r="Z230">
        <v>6118</v>
      </c>
      <c r="AA230">
        <v>270</v>
      </c>
      <c r="AB230">
        <v>270</v>
      </c>
      <c r="AC230">
        <v>0</v>
      </c>
      <c r="AD230">
        <v>0</v>
      </c>
      <c r="AE230">
        <v>1E-3</v>
      </c>
      <c r="AF230">
        <v>0.48599999999999999</v>
      </c>
      <c r="AG230">
        <v>5.0000000000000001E-3</v>
      </c>
      <c r="AH230">
        <v>2E-3</v>
      </c>
      <c r="AI230">
        <v>0.16</v>
      </c>
      <c r="AJ230">
        <v>1E-3</v>
      </c>
      <c r="AK230">
        <v>0.01</v>
      </c>
      <c r="AL230">
        <v>0</v>
      </c>
      <c r="AM230">
        <v>1E-3</v>
      </c>
      <c r="AN230">
        <v>0.124</v>
      </c>
      <c r="AO230">
        <v>3.4000000000000002E-2</v>
      </c>
      <c r="AP230">
        <v>2E-3</v>
      </c>
      <c r="AQ230">
        <v>0</v>
      </c>
      <c r="AR230">
        <v>0</v>
      </c>
      <c r="AS230">
        <v>0</v>
      </c>
      <c r="AT230" t="s">
        <v>243</v>
      </c>
      <c r="AU230" t="s">
        <v>243</v>
      </c>
      <c r="AV230" t="s">
        <v>549</v>
      </c>
    </row>
    <row r="231" spans="1:102" x14ac:dyDescent="0.2">
      <c r="A231" t="s">
        <v>47</v>
      </c>
      <c r="B231" t="s">
        <v>765</v>
      </c>
      <c r="C231" t="s">
        <v>242</v>
      </c>
      <c r="D231" t="s">
        <v>174</v>
      </c>
      <c r="E231" t="s">
        <v>175</v>
      </c>
      <c r="F231" t="s">
        <v>176</v>
      </c>
      <c r="G231">
        <v>0.5</v>
      </c>
      <c r="H231">
        <v>20</v>
      </c>
      <c r="I231" t="s">
        <v>177</v>
      </c>
      <c r="J231" t="s">
        <v>178</v>
      </c>
      <c r="K231" t="s">
        <v>179</v>
      </c>
      <c r="L231" t="s">
        <v>180</v>
      </c>
      <c r="M231">
        <v>107</v>
      </c>
      <c r="N231">
        <v>5.6074766355140193E-2</v>
      </c>
      <c r="O231">
        <v>0.75</v>
      </c>
      <c r="P231">
        <v>0.1043478260869565</v>
      </c>
      <c r="Q231">
        <v>0.49</v>
      </c>
      <c r="R231">
        <v>54</v>
      </c>
      <c r="S231">
        <v>54</v>
      </c>
      <c r="T231">
        <v>8163</v>
      </c>
      <c r="U231">
        <v>108</v>
      </c>
      <c r="V231">
        <v>8271</v>
      </c>
      <c r="W231">
        <v>2</v>
      </c>
      <c r="X231">
        <v>8163</v>
      </c>
      <c r="Y231">
        <v>108</v>
      </c>
      <c r="Z231">
        <v>8271</v>
      </c>
      <c r="AA231">
        <v>270</v>
      </c>
      <c r="AB231">
        <v>270</v>
      </c>
      <c r="AC231">
        <v>0</v>
      </c>
      <c r="AD231">
        <v>0</v>
      </c>
      <c r="AE231">
        <v>1E-3</v>
      </c>
      <c r="AF231">
        <v>0.48099999999999998</v>
      </c>
      <c r="AG231">
        <v>4.0000000000000001E-3</v>
      </c>
      <c r="AH231">
        <v>1E-3</v>
      </c>
      <c r="AI231">
        <v>0.158</v>
      </c>
      <c r="AJ231">
        <v>1E-3</v>
      </c>
      <c r="AK231">
        <v>0.01</v>
      </c>
      <c r="AL231">
        <v>0</v>
      </c>
      <c r="AM231">
        <v>0</v>
      </c>
      <c r="AN231">
        <v>0.159</v>
      </c>
      <c r="AO231">
        <v>1.7000000000000001E-2</v>
      </c>
      <c r="AP231">
        <v>1E-3</v>
      </c>
      <c r="AQ231">
        <v>0</v>
      </c>
      <c r="AR231">
        <v>0</v>
      </c>
      <c r="AS231">
        <v>0</v>
      </c>
      <c r="AT231" t="s">
        <v>243</v>
      </c>
      <c r="AU231" t="s">
        <v>243</v>
      </c>
      <c r="AV231" t="s">
        <v>549</v>
      </c>
    </row>
    <row r="232" spans="1:102" x14ac:dyDescent="0.2">
      <c r="A232" t="s">
        <v>47</v>
      </c>
      <c r="B232" t="s">
        <v>766</v>
      </c>
      <c r="C232" t="s">
        <v>242</v>
      </c>
      <c r="D232" t="s">
        <v>174</v>
      </c>
      <c r="E232" t="s">
        <v>175</v>
      </c>
      <c r="F232" t="s">
        <v>176</v>
      </c>
      <c r="G232">
        <v>0.5</v>
      </c>
      <c r="H232">
        <v>25</v>
      </c>
      <c r="I232" t="s">
        <v>177</v>
      </c>
      <c r="J232" t="s">
        <v>178</v>
      </c>
      <c r="K232" t="s">
        <v>179</v>
      </c>
      <c r="L232" t="s">
        <v>180</v>
      </c>
      <c r="M232">
        <v>113</v>
      </c>
      <c r="N232">
        <v>5.3097345132743362E-2</v>
      </c>
      <c r="O232">
        <v>0.75</v>
      </c>
      <c r="P232">
        <v>9.9173553719008267E-2</v>
      </c>
      <c r="Q232">
        <v>0.54</v>
      </c>
      <c r="R232">
        <v>67</v>
      </c>
      <c r="S232">
        <v>67</v>
      </c>
      <c r="T232">
        <v>10143</v>
      </c>
      <c r="U232">
        <v>134</v>
      </c>
      <c r="V232">
        <v>10277</v>
      </c>
      <c r="W232">
        <v>3</v>
      </c>
      <c r="X232">
        <v>10143</v>
      </c>
      <c r="Y232">
        <v>134</v>
      </c>
      <c r="Z232">
        <v>10277</v>
      </c>
      <c r="AA232">
        <v>270</v>
      </c>
      <c r="AB232">
        <v>270</v>
      </c>
      <c r="AC232">
        <v>0</v>
      </c>
      <c r="AD232">
        <v>0</v>
      </c>
      <c r="AE232">
        <v>1E-3</v>
      </c>
      <c r="AF232">
        <v>0.53100000000000003</v>
      </c>
      <c r="AG232">
        <v>8.9999999999999993E-3</v>
      </c>
      <c r="AH232">
        <v>1E-3</v>
      </c>
      <c r="AI232">
        <v>0.14399999999999999</v>
      </c>
      <c r="AJ232">
        <v>1E-3</v>
      </c>
      <c r="AK232">
        <v>0.01</v>
      </c>
      <c r="AL232">
        <v>0</v>
      </c>
      <c r="AM232">
        <v>0</v>
      </c>
      <c r="AN232">
        <v>0.14000000000000001</v>
      </c>
      <c r="AO232">
        <v>3.4000000000000002E-2</v>
      </c>
      <c r="AP232">
        <v>1E-3</v>
      </c>
      <c r="AQ232">
        <v>0</v>
      </c>
      <c r="AR232">
        <v>0</v>
      </c>
      <c r="AS232">
        <v>0</v>
      </c>
      <c r="AT232" t="s">
        <v>243</v>
      </c>
      <c r="AU232" t="s">
        <v>243</v>
      </c>
      <c r="AV232" t="s">
        <v>549</v>
      </c>
    </row>
    <row r="233" spans="1:102" x14ac:dyDescent="0.2">
      <c r="A233" t="s">
        <v>48</v>
      </c>
      <c r="B233" t="s">
        <v>767</v>
      </c>
      <c r="C233" t="s">
        <v>242</v>
      </c>
      <c r="D233" t="s">
        <v>174</v>
      </c>
      <c r="E233" t="s">
        <v>175</v>
      </c>
      <c r="F233" t="s">
        <v>176</v>
      </c>
      <c r="G233">
        <v>0.5</v>
      </c>
      <c r="H233">
        <v>5</v>
      </c>
      <c r="I233" t="s">
        <v>177</v>
      </c>
      <c r="J233" t="s">
        <v>178</v>
      </c>
      <c r="K233" t="s">
        <v>179</v>
      </c>
      <c r="L233" t="s">
        <v>180</v>
      </c>
      <c r="M233">
        <v>458</v>
      </c>
      <c r="N233">
        <v>1.310043668122271E-2</v>
      </c>
      <c r="O233">
        <v>0.54545454545454541</v>
      </c>
      <c r="P233">
        <v>2.5586353944562899E-2</v>
      </c>
      <c r="Q233">
        <v>0.84</v>
      </c>
      <c r="R233">
        <v>71</v>
      </c>
      <c r="S233">
        <v>71</v>
      </c>
      <c r="T233">
        <v>12400</v>
      </c>
      <c r="U233">
        <v>170</v>
      </c>
      <c r="V233">
        <v>12570</v>
      </c>
      <c r="W233">
        <v>3</v>
      </c>
      <c r="X233">
        <v>12400</v>
      </c>
      <c r="Y233">
        <v>170</v>
      </c>
      <c r="Z233">
        <v>12570</v>
      </c>
      <c r="AA233">
        <v>1421</v>
      </c>
      <c r="AB233">
        <v>1421</v>
      </c>
      <c r="AC233">
        <v>0</v>
      </c>
      <c r="AD233">
        <v>0</v>
      </c>
      <c r="AE233">
        <v>8.0000000000000002E-3</v>
      </c>
      <c r="AF233">
        <v>0.82299999999999995</v>
      </c>
      <c r="AG233">
        <v>6.0000000000000001E-3</v>
      </c>
      <c r="AH233">
        <v>4.0000000000000001E-3</v>
      </c>
      <c r="AI233">
        <v>9.0999999999999998E-2</v>
      </c>
      <c r="AJ233">
        <v>1E-3</v>
      </c>
      <c r="AK233">
        <v>2.5000000000000001E-2</v>
      </c>
      <c r="AL233">
        <v>0</v>
      </c>
      <c r="AM233">
        <v>1E-3</v>
      </c>
      <c r="AN233">
        <v>0.503</v>
      </c>
      <c r="AO233">
        <v>2.7E-2</v>
      </c>
      <c r="AP233">
        <v>4.0000000000000001E-3</v>
      </c>
      <c r="AQ233">
        <v>0</v>
      </c>
      <c r="AR233">
        <v>0</v>
      </c>
      <c r="AS233">
        <v>0</v>
      </c>
      <c r="AT233" t="s">
        <v>243</v>
      </c>
      <c r="AU233" t="s">
        <v>243</v>
      </c>
      <c r="AV233" t="s">
        <v>549</v>
      </c>
    </row>
    <row r="234" spans="1:102" x14ac:dyDescent="0.2">
      <c r="A234" t="s">
        <v>48</v>
      </c>
      <c r="B234" t="s">
        <v>768</v>
      </c>
      <c r="C234" t="s">
        <v>242</v>
      </c>
      <c r="D234" t="s">
        <v>174</v>
      </c>
      <c r="E234" t="s">
        <v>175</v>
      </c>
      <c r="F234" t="s">
        <v>176</v>
      </c>
      <c r="G234">
        <v>0.5</v>
      </c>
      <c r="H234">
        <v>10</v>
      </c>
      <c r="I234" t="s">
        <v>177</v>
      </c>
      <c r="J234" t="s">
        <v>178</v>
      </c>
      <c r="K234" t="s">
        <v>179</v>
      </c>
      <c r="L234" t="s">
        <v>180</v>
      </c>
      <c r="M234">
        <v>381</v>
      </c>
      <c r="N234">
        <v>1.8372703412073491E-2</v>
      </c>
      <c r="O234">
        <v>0.63636363636363635</v>
      </c>
      <c r="P234">
        <v>3.5714285714285712E-2</v>
      </c>
      <c r="Q234">
        <v>1.02</v>
      </c>
      <c r="R234">
        <v>142</v>
      </c>
      <c r="S234">
        <v>142</v>
      </c>
      <c r="T234">
        <v>23926</v>
      </c>
      <c r="U234">
        <v>326</v>
      </c>
      <c r="V234">
        <v>24252</v>
      </c>
      <c r="W234">
        <v>5</v>
      </c>
      <c r="X234">
        <v>23926</v>
      </c>
      <c r="Y234">
        <v>326</v>
      </c>
      <c r="Z234">
        <v>24252</v>
      </c>
      <c r="AA234">
        <v>1421</v>
      </c>
      <c r="AB234">
        <v>1421</v>
      </c>
      <c r="AC234">
        <v>0</v>
      </c>
      <c r="AD234">
        <v>0</v>
      </c>
      <c r="AE234">
        <v>4.0000000000000001E-3</v>
      </c>
      <c r="AF234">
        <v>1.0009999999999999</v>
      </c>
      <c r="AG234">
        <v>1.0999999999999999E-2</v>
      </c>
      <c r="AH234">
        <v>6.0000000000000001E-3</v>
      </c>
      <c r="AI234">
        <v>7.8E-2</v>
      </c>
      <c r="AJ234">
        <v>1.7999999999999999E-2</v>
      </c>
      <c r="AK234">
        <v>2.5000000000000001E-2</v>
      </c>
      <c r="AL234">
        <v>0</v>
      </c>
      <c r="AM234">
        <v>1E-3</v>
      </c>
      <c r="AN234">
        <v>0.623</v>
      </c>
      <c r="AO234">
        <v>5.0999999999999997E-2</v>
      </c>
      <c r="AP234">
        <v>6.0000000000000001E-3</v>
      </c>
      <c r="AQ234">
        <v>0</v>
      </c>
      <c r="AR234">
        <v>0</v>
      </c>
      <c r="AS234">
        <v>0</v>
      </c>
      <c r="AT234" t="s">
        <v>243</v>
      </c>
      <c r="AU234" t="s">
        <v>243</v>
      </c>
      <c r="AV234" t="s">
        <v>549</v>
      </c>
    </row>
    <row r="235" spans="1:102" x14ac:dyDescent="0.2">
      <c r="A235" t="s">
        <v>48</v>
      </c>
      <c r="B235" t="s">
        <v>769</v>
      </c>
      <c r="C235" t="s">
        <v>242</v>
      </c>
      <c r="D235" t="s">
        <v>174</v>
      </c>
      <c r="E235" t="s">
        <v>175</v>
      </c>
      <c r="F235" t="s">
        <v>176</v>
      </c>
      <c r="G235">
        <v>0.5</v>
      </c>
      <c r="H235">
        <v>15</v>
      </c>
      <c r="I235" t="s">
        <v>177</v>
      </c>
      <c r="J235" t="s">
        <v>178</v>
      </c>
      <c r="K235" t="s">
        <v>179</v>
      </c>
      <c r="L235" t="s">
        <v>180</v>
      </c>
      <c r="M235">
        <v>357</v>
      </c>
      <c r="N235">
        <v>2.240896358543417E-2</v>
      </c>
      <c r="O235">
        <v>0.72727272727272729</v>
      </c>
      <c r="P235">
        <v>4.3478260869565223E-2</v>
      </c>
      <c r="Q235">
        <v>0.96</v>
      </c>
      <c r="R235">
        <v>213</v>
      </c>
      <c r="S235">
        <v>213</v>
      </c>
      <c r="T235">
        <v>35540</v>
      </c>
      <c r="U235">
        <v>468</v>
      </c>
      <c r="V235">
        <v>36008</v>
      </c>
      <c r="W235">
        <v>7</v>
      </c>
      <c r="X235">
        <v>35540</v>
      </c>
      <c r="Y235">
        <v>468</v>
      </c>
      <c r="Z235">
        <v>36008</v>
      </c>
      <c r="AA235">
        <v>1421</v>
      </c>
      <c r="AB235">
        <v>1421</v>
      </c>
      <c r="AC235">
        <v>0</v>
      </c>
      <c r="AD235">
        <v>0</v>
      </c>
      <c r="AE235">
        <v>4.0000000000000001E-3</v>
      </c>
      <c r="AF235">
        <v>0.93799999999999994</v>
      </c>
      <c r="AG235">
        <v>8.0000000000000002E-3</v>
      </c>
      <c r="AH235">
        <v>6.0000000000000001E-3</v>
      </c>
      <c r="AI235">
        <v>7.3999999999999996E-2</v>
      </c>
      <c r="AJ235">
        <v>1.4999999999999999E-2</v>
      </c>
      <c r="AK235">
        <v>2.5000000000000001E-2</v>
      </c>
      <c r="AL235">
        <v>0</v>
      </c>
      <c r="AM235">
        <v>0</v>
      </c>
      <c r="AN235">
        <v>0.64600000000000002</v>
      </c>
      <c r="AO235">
        <v>2.1999999999999999E-2</v>
      </c>
      <c r="AP235">
        <v>6.0000000000000001E-3</v>
      </c>
      <c r="AQ235">
        <v>0</v>
      </c>
      <c r="AR235">
        <v>0</v>
      </c>
      <c r="AS235">
        <v>0</v>
      </c>
      <c r="AT235" t="s">
        <v>243</v>
      </c>
      <c r="AU235" t="s">
        <v>243</v>
      </c>
      <c r="AV235" t="s">
        <v>549</v>
      </c>
    </row>
    <row r="236" spans="1:102" x14ac:dyDescent="0.2">
      <c r="A236" t="s">
        <v>48</v>
      </c>
      <c r="B236" t="s">
        <v>770</v>
      </c>
      <c r="C236" t="s">
        <v>242</v>
      </c>
      <c r="D236" t="s">
        <v>174</v>
      </c>
      <c r="E236" t="s">
        <v>175</v>
      </c>
      <c r="F236" t="s">
        <v>176</v>
      </c>
      <c r="G236">
        <v>0.5</v>
      </c>
      <c r="H236">
        <v>20</v>
      </c>
      <c r="I236" t="s">
        <v>177</v>
      </c>
      <c r="J236" t="s">
        <v>178</v>
      </c>
      <c r="K236" t="s">
        <v>179</v>
      </c>
      <c r="L236" t="s">
        <v>180</v>
      </c>
      <c r="M236">
        <v>330</v>
      </c>
      <c r="N236">
        <v>2.121212121212121E-2</v>
      </c>
      <c r="O236">
        <v>0.63636363636363635</v>
      </c>
      <c r="P236">
        <v>4.1055718475073312E-2</v>
      </c>
      <c r="Q236">
        <v>1.08</v>
      </c>
      <c r="R236">
        <v>284</v>
      </c>
      <c r="S236">
        <v>284</v>
      </c>
      <c r="T236">
        <v>47214</v>
      </c>
      <c r="U236">
        <v>610</v>
      </c>
      <c r="V236">
        <v>47824</v>
      </c>
      <c r="W236">
        <v>9</v>
      </c>
      <c r="X236">
        <v>47214</v>
      </c>
      <c r="Y236">
        <v>610</v>
      </c>
      <c r="Z236">
        <v>47824</v>
      </c>
      <c r="AA236">
        <v>1421</v>
      </c>
      <c r="AB236">
        <v>1421</v>
      </c>
      <c r="AC236">
        <v>0</v>
      </c>
      <c r="AD236">
        <v>0</v>
      </c>
      <c r="AE236">
        <v>4.0000000000000001E-3</v>
      </c>
      <c r="AF236">
        <v>1.0409999999999999</v>
      </c>
      <c r="AG236">
        <v>3.3000000000000002E-2</v>
      </c>
      <c r="AH236">
        <v>3.0000000000000001E-3</v>
      </c>
      <c r="AI236">
        <v>7.5999999999999998E-2</v>
      </c>
      <c r="AJ236">
        <v>1.2999999999999999E-2</v>
      </c>
      <c r="AK236">
        <v>2.5999999999999999E-2</v>
      </c>
      <c r="AL236">
        <v>0</v>
      </c>
      <c r="AM236">
        <v>1E-3</v>
      </c>
      <c r="AN236">
        <v>0.67800000000000005</v>
      </c>
      <c r="AO236">
        <v>1.7000000000000001E-2</v>
      </c>
      <c r="AP236">
        <v>3.0000000000000001E-3</v>
      </c>
      <c r="AQ236">
        <v>0</v>
      </c>
      <c r="AR236">
        <v>0</v>
      </c>
      <c r="AS236">
        <v>0</v>
      </c>
      <c r="AT236" t="s">
        <v>243</v>
      </c>
      <c r="AU236" t="s">
        <v>243</v>
      </c>
      <c r="AV236" t="s">
        <v>549</v>
      </c>
    </row>
    <row r="237" spans="1:102" x14ac:dyDescent="0.2">
      <c r="A237" t="s">
        <v>48</v>
      </c>
      <c r="B237" t="s">
        <v>771</v>
      </c>
      <c r="C237" t="s">
        <v>242</v>
      </c>
      <c r="D237" t="s">
        <v>174</v>
      </c>
      <c r="E237" t="s">
        <v>175</v>
      </c>
      <c r="F237" t="s">
        <v>176</v>
      </c>
      <c r="G237">
        <v>0.5</v>
      </c>
      <c r="H237">
        <v>25</v>
      </c>
      <c r="I237" t="s">
        <v>177</v>
      </c>
      <c r="J237" t="s">
        <v>178</v>
      </c>
      <c r="K237" t="s">
        <v>179</v>
      </c>
      <c r="L237" t="s">
        <v>180</v>
      </c>
      <c r="M237">
        <v>318</v>
      </c>
      <c r="N237">
        <v>2.20125786163522E-2</v>
      </c>
      <c r="O237">
        <v>0.63636363636363635</v>
      </c>
      <c r="P237">
        <v>4.2553191489361701E-2</v>
      </c>
      <c r="Q237">
        <v>1.1000000000000001</v>
      </c>
      <c r="R237">
        <v>355</v>
      </c>
      <c r="S237">
        <v>355</v>
      </c>
      <c r="T237">
        <v>59092</v>
      </c>
      <c r="U237">
        <v>752</v>
      </c>
      <c r="V237">
        <v>59844</v>
      </c>
      <c r="W237">
        <v>12</v>
      </c>
      <c r="X237">
        <v>59092</v>
      </c>
      <c r="Y237">
        <v>752</v>
      </c>
      <c r="Z237">
        <v>59844</v>
      </c>
      <c r="AA237">
        <v>1421</v>
      </c>
      <c r="AB237">
        <v>1421</v>
      </c>
      <c r="AC237">
        <v>0</v>
      </c>
      <c r="AD237">
        <v>0</v>
      </c>
      <c r="AE237">
        <v>4.0000000000000001E-3</v>
      </c>
      <c r="AF237">
        <v>1.0669999999999999</v>
      </c>
      <c r="AG237">
        <v>1.6E-2</v>
      </c>
      <c r="AH237">
        <v>1.2E-2</v>
      </c>
      <c r="AI237">
        <v>8.2000000000000003E-2</v>
      </c>
      <c r="AJ237">
        <v>1.6E-2</v>
      </c>
      <c r="AK237">
        <v>1.2999999999999999E-2</v>
      </c>
      <c r="AL237">
        <v>0</v>
      </c>
      <c r="AM237">
        <v>1E-3</v>
      </c>
      <c r="AN237">
        <v>0.79</v>
      </c>
      <c r="AO237">
        <v>3.5000000000000003E-2</v>
      </c>
      <c r="AP237">
        <v>1.2E-2</v>
      </c>
      <c r="AQ237">
        <v>0</v>
      </c>
      <c r="AR237">
        <v>0</v>
      </c>
      <c r="AS237">
        <v>0</v>
      </c>
      <c r="AT237" t="s">
        <v>243</v>
      </c>
      <c r="AU237" t="s">
        <v>243</v>
      </c>
      <c r="AV237" t="s">
        <v>549</v>
      </c>
    </row>
    <row r="239" spans="1:102" x14ac:dyDescent="0.2">
      <c r="A239" t="s">
        <v>772</v>
      </c>
    </row>
    <row r="240" spans="1:102" x14ac:dyDescent="0.2">
      <c r="A240" t="s">
        <v>0</v>
      </c>
      <c r="B240" t="s">
        <v>71</v>
      </c>
      <c r="C240" t="s">
        <v>72</v>
      </c>
      <c r="D240" t="s">
        <v>73</v>
      </c>
      <c r="E240" t="s">
        <v>74</v>
      </c>
      <c r="F240" t="s">
        <v>75</v>
      </c>
      <c r="G240" t="s">
        <v>76</v>
      </c>
      <c r="H240" t="s">
        <v>77</v>
      </c>
      <c r="I240" t="s">
        <v>78</v>
      </c>
      <c r="J240" t="s">
        <v>79</v>
      </c>
      <c r="K240" t="s">
        <v>80</v>
      </c>
      <c r="L240" t="s">
        <v>81</v>
      </c>
      <c r="M240" t="s">
        <v>82</v>
      </c>
      <c r="N240" t="s">
        <v>83</v>
      </c>
      <c r="O240" t="s">
        <v>84</v>
      </c>
      <c r="P240" t="s">
        <v>85</v>
      </c>
      <c r="Q240" t="s">
        <v>86</v>
      </c>
      <c r="R240" t="s">
        <v>87</v>
      </c>
      <c r="S240" t="s">
        <v>88</v>
      </c>
      <c r="T240" t="s">
        <v>89</v>
      </c>
      <c r="U240" t="s">
        <v>90</v>
      </c>
      <c r="V240" t="s">
        <v>91</v>
      </c>
      <c r="W240" t="s">
        <v>92</v>
      </c>
      <c r="X240" t="s">
        <v>93</v>
      </c>
      <c r="Y240" t="s">
        <v>94</v>
      </c>
      <c r="Z240" t="s">
        <v>95</v>
      </c>
      <c r="AA240" t="s">
        <v>96</v>
      </c>
      <c r="AB240" t="s">
        <v>97</v>
      </c>
      <c r="AC240" t="s">
        <v>98</v>
      </c>
      <c r="AD240" t="s">
        <v>99</v>
      </c>
      <c r="AE240" t="s">
        <v>100</v>
      </c>
      <c r="AF240" t="s">
        <v>101</v>
      </c>
      <c r="AG240" t="s">
        <v>102</v>
      </c>
      <c r="AH240" t="s">
        <v>103</v>
      </c>
      <c r="AI240" t="s">
        <v>104</v>
      </c>
      <c r="AJ240" t="s">
        <v>105</v>
      </c>
      <c r="AK240" t="s">
        <v>106</v>
      </c>
      <c r="AL240" t="s">
        <v>107</v>
      </c>
      <c r="AM240" t="s">
        <v>108</v>
      </c>
      <c r="AN240" t="s">
        <v>109</v>
      </c>
      <c r="AO240" t="s">
        <v>110</v>
      </c>
      <c r="AP240" t="s">
        <v>111</v>
      </c>
      <c r="AQ240" t="s">
        <v>112</v>
      </c>
      <c r="AR240" t="s">
        <v>113</v>
      </c>
      <c r="AS240" t="s">
        <v>114</v>
      </c>
      <c r="AT240" t="s">
        <v>115</v>
      </c>
      <c r="AU240" t="s">
        <v>116</v>
      </c>
      <c r="AV240" t="s">
        <v>117</v>
      </c>
      <c r="AW240" t="s">
        <v>118</v>
      </c>
      <c r="AX240" t="s">
        <v>119</v>
      </c>
      <c r="AY240" t="s">
        <v>120</v>
      </c>
      <c r="AZ240" t="s">
        <v>121</v>
      </c>
      <c r="BA240" t="s">
        <v>122</v>
      </c>
      <c r="BB240" t="s">
        <v>123</v>
      </c>
      <c r="BC240" t="s">
        <v>124</v>
      </c>
      <c r="BD240" t="s">
        <v>125</v>
      </c>
      <c r="BE240" t="s">
        <v>126</v>
      </c>
      <c r="BF240" t="s">
        <v>127</v>
      </c>
      <c r="BG240" t="s">
        <v>128</v>
      </c>
      <c r="BH240" t="s">
        <v>129</v>
      </c>
      <c r="BI240" t="s">
        <v>130</v>
      </c>
      <c r="BJ240" t="s">
        <v>131</v>
      </c>
      <c r="BK240" t="s">
        <v>132</v>
      </c>
      <c r="BL240" t="s">
        <v>133</v>
      </c>
      <c r="BM240" t="s">
        <v>134</v>
      </c>
      <c r="BN240" t="s">
        <v>135</v>
      </c>
      <c r="BO240" t="s">
        <v>136</v>
      </c>
      <c r="BP240" t="s">
        <v>137</v>
      </c>
      <c r="BQ240" t="s">
        <v>138</v>
      </c>
      <c r="BR240" t="s">
        <v>139</v>
      </c>
      <c r="BS240" t="s">
        <v>140</v>
      </c>
      <c r="BT240" t="s">
        <v>141</v>
      </c>
      <c r="BU240" t="s">
        <v>142</v>
      </c>
      <c r="BV240" t="s">
        <v>143</v>
      </c>
      <c r="BW240" t="s">
        <v>144</v>
      </c>
      <c r="BX240" t="s">
        <v>145</v>
      </c>
      <c r="BY240" t="s">
        <v>146</v>
      </c>
      <c r="BZ240" t="s">
        <v>147</v>
      </c>
      <c r="CA240" t="s">
        <v>148</v>
      </c>
      <c r="CB240" t="s">
        <v>149</v>
      </c>
      <c r="CC240" t="s">
        <v>150</v>
      </c>
      <c r="CD240" t="s">
        <v>151</v>
      </c>
      <c r="CE240" t="s">
        <v>152</v>
      </c>
      <c r="CF240" t="s">
        <v>153</v>
      </c>
      <c r="CG240" t="s">
        <v>154</v>
      </c>
      <c r="CH240" t="s">
        <v>155</v>
      </c>
      <c r="CI240" t="s">
        <v>156</v>
      </c>
      <c r="CJ240" t="s">
        <v>157</v>
      </c>
      <c r="CK240" t="s">
        <v>158</v>
      </c>
      <c r="CL240" t="s">
        <v>159</v>
      </c>
      <c r="CM240" t="s">
        <v>160</v>
      </c>
      <c r="CN240" t="s">
        <v>161</v>
      </c>
      <c r="CO240" t="s">
        <v>162</v>
      </c>
      <c r="CP240" t="s">
        <v>163</v>
      </c>
      <c r="CQ240" t="s">
        <v>164</v>
      </c>
      <c r="CR240" t="s">
        <v>165</v>
      </c>
      <c r="CS240" t="s">
        <v>166</v>
      </c>
      <c r="CT240" t="s">
        <v>167</v>
      </c>
      <c r="CU240" t="s">
        <v>168</v>
      </c>
      <c r="CV240" t="s">
        <v>169</v>
      </c>
      <c r="CW240" t="s">
        <v>170</v>
      </c>
      <c r="CX240" t="s">
        <v>171</v>
      </c>
    </row>
    <row r="241" spans="1:48" x14ac:dyDescent="0.2">
      <c r="A241" t="s">
        <v>33</v>
      </c>
      <c r="B241" t="s">
        <v>773</v>
      </c>
      <c r="C241" t="s">
        <v>242</v>
      </c>
      <c r="D241" t="s">
        <v>174</v>
      </c>
      <c r="E241" t="s">
        <v>175</v>
      </c>
      <c r="F241" t="s">
        <v>176</v>
      </c>
      <c r="G241">
        <v>0.5</v>
      </c>
      <c r="H241">
        <v>0.25</v>
      </c>
      <c r="I241" t="s">
        <v>177</v>
      </c>
      <c r="J241" t="s">
        <v>178</v>
      </c>
      <c r="K241" t="s">
        <v>179</v>
      </c>
      <c r="L241" t="s">
        <v>180</v>
      </c>
      <c r="M241">
        <v>806</v>
      </c>
      <c r="N241">
        <v>6.2034739454094297E-3</v>
      </c>
      <c r="O241">
        <v>1</v>
      </c>
      <c r="P241">
        <v>1.23304562268804E-2</v>
      </c>
      <c r="Q241">
        <v>2.11</v>
      </c>
      <c r="R241">
        <v>26</v>
      </c>
      <c r="S241">
        <v>26</v>
      </c>
      <c r="T241">
        <v>8359</v>
      </c>
      <c r="U241">
        <v>52</v>
      </c>
      <c r="V241">
        <v>8411</v>
      </c>
      <c r="W241">
        <v>26</v>
      </c>
      <c r="X241">
        <v>8359</v>
      </c>
      <c r="Y241">
        <v>52</v>
      </c>
      <c r="Z241">
        <v>8411</v>
      </c>
      <c r="AA241">
        <v>10400</v>
      </c>
      <c r="AB241">
        <v>10400</v>
      </c>
      <c r="AC241">
        <v>0</v>
      </c>
      <c r="AD241">
        <v>0</v>
      </c>
      <c r="AE241">
        <v>4.9000000000000002E-2</v>
      </c>
      <c r="AF241">
        <v>2.0259999999999998</v>
      </c>
      <c r="AG241">
        <v>7.0000000000000001E-3</v>
      </c>
      <c r="AH241">
        <v>3.1E-2</v>
      </c>
      <c r="AI241">
        <v>0.72</v>
      </c>
      <c r="AJ241">
        <v>8.0000000000000002E-3</v>
      </c>
      <c r="AK241">
        <v>9.1999999999999998E-2</v>
      </c>
      <c r="AL241">
        <v>0</v>
      </c>
      <c r="AM241">
        <v>1E-3</v>
      </c>
      <c r="AN241">
        <v>0.46500000000000002</v>
      </c>
      <c r="AO241">
        <v>0.113</v>
      </c>
      <c r="AP241">
        <v>3.1E-2</v>
      </c>
      <c r="AQ241">
        <v>0</v>
      </c>
      <c r="AR241">
        <v>0</v>
      </c>
      <c r="AS241">
        <v>0</v>
      </c>
      <c r="AT241" t="s">
        <v>243</v>
      </c>
      <c r="AU241" t="s">
        <v>243</v>
      </c>
      <c r="AV241" t="s">
        <v>549</v>
      </c>
    </row>
    <row r="242" spans="1:48" x14ac:dyDescent="0.2">
      <c r="A242" t="s">
        <v>33</v>
      </c>
      <c r="B242" t="s">
        <v>774</v>
      </c>
      <c r="C242" t="s">
        <v>242</v>
      </c>
      <c r="D242" t="s">
        <v>174</v>
      </c>
      <c r="E242" t="s">
        <v>175</v>
      </c>
      <c r="F242" t="s">
        <v>176</v>
      </c>
      <c r="G242">
        <v>0.5</v>
      </c>
      <c r="H242">
        <v>0.5</v>
      </c>
      <c r="I242" t="s">
        <v>177</v>
      </c>
      <c r="J242" t="s">
        <v>178</v>
      </c>
      <c r="K242" t="s">
        <v>179</v>
      </c>
      <c r="L242" t="s">
        <v>180</v>
      </c>
      <c r="M242">
        <v>2146</v>
      </c>
      <c r="N242">
        <v>2.3299161230195711E-3</v>
      </c>
      <c r="O242">
        <v>1</v>
      </c>
      <c r="P242">
        <v>4.6490004649000468E-3</v>
      </c>
      <c r="Q242">
        <v>1.74</v>
      </c>
      <c r="R242">
        <v>52</v>
      </c>
      <c r="S242">
        <v>52</v>
      </c>
      <c r="T242">
        <v>30474</v>
      </c>
      <c r="U242">
        <v>104</v>
      </c>
      <c r="V242">
        <v>30578</v>
      </c>
      <c r="W242">
        <v>52</v>
      </c>
      <c r="X242">
        <v>30474</v>
      </c>
      <c r="Y242">
        <v>104</v>
      </c>
      <c r="Z242">
        <v>30578</v>
      </c>
      <c r="AA242">
        <v>10400</v>
      </c>
      <c r="AB242">
        <v>10400</v>
      </c>
      <c r="AC242">
        <v>0</v>
      </c>
      <c r="AD242">
        <v>0</v>
      </c>
      <c r="AE242">
        <v>4.3999999999999997E-2</v>
      </c>
      <c r="AF242">
        <v>1.663</v>
      </c>
      <c r="AG242">
        <v>6.0000000000000001E-3</v>
      </c>
      <c r="AH242">
        <v>2.8000000000000001E-2</v>
      </c>
      <c r="AI242">
        <v>0.23200000000000001</v>
      </c>
      <c r="AJ242">
        <v>1.6E-2</v>
      </c>
      <c r="AK242">
        <v>9.6000000000000002E-2</v>
      </c>
      <c r="AL242">
        <v>0</v>
      </c>
      <c r="AM242">
        <v>2E-3</v>
      </c>
      <c r="AN242">
        <v>0.98399999999999999</v>
      </c>
      <c r="AO242">
        <v>0.08</v>
      </c>
      <c r="AP242">
        <v>2.8000000000000001E-2</v>
      </c>
      <c r="AQ242">
        <v>0</v>
      </c>
      <c r="AR242">
        <v>0</v>
      </c>
      <c r="AS242">
        <v>0</v>
      </c>
      <c r="AT242" t="s">
        <v>243</v>
      </c>
      <c r="AU242" t="s">
        <v>243</v>
      </c>
      <c r="AV242" t="s">
        <v>549</v>
      </c>
    </row>
    <row r="243" spans="1:48" x14ac:dyDescent="0.2">
      <c r="A243" t="s">
        <v>33</v>
      </c>
      <c r="B243" t="s">
        <v>775</v>
      </c>
      <c r="C243" t="s">
        <v>242</v>
      </c>
      <c r="D243" t="s">
        <v>174</v>
      </c>
      <c r="E243" t="s">
        <v>175</v>
      </c>
      <c r="F243" t="s">
        <v>176</v>
      </c>
      <c r="G243">
        <v>0.5</v>
      </c>
      <c r="H243">
        <v>0.75</v>
      </c>
      <c r="I243" t="s">
        <v>177</v>
      </c>
      <c r="J243" t="s">
        <v>178</v>
      </c>
      <c r="K243" t="s">
        <v>179</v>
      </c>
      <c r="L243" t="s">
        <v>180</v>
      </c>
      <c r="M243">
        <v>2084</v>
      </c>
      <c r="N243">
        <v>2.3992322456813822E-3</v>
      </c>
      <c r="O243">
        <v>1</v>
      </c>
      <c r="P243">
        <v>4.7869794159885112E-3</v>
      </c>
      <c r="Q243">
        <v>1.6</v>
      </c>
      <c r="R243">
        <v>78</v>
      </c>
      <c r="S243">
        <v>78</v>
      </c>
      <c r="T243">
        <v>40042</v>
      </c>
      <c r="U243">
        <v>156</v>
      </c>
      <c r="V243">
        <v>40198</v>
      </c>
      <c r="W243">
        <v>78</v>
      </c>
      <c r="X243">
        <v>40042</v>
      </c>
      <c r="Y243">
        <v>156</v>
      </c>
      <c r="Z243">
        <v>40198</v>
      </c>
      <c r="AA243">
        <v>10400</v>
      </c>
      <c r="AB243">
        <v>10400</v>
      </c>
      <c r="AC243">
        <v>0</v>
      </c>
      <c r="AD243">
        <v>0</v>
      </c>
      <c r="AE243">
        <v>0.217</v>
      </c>
      <c r="AF243">
        <v>1.32</v>
      </c>
      <c r="AG243">
        <v>5.0000000000000001E-3</v>
      </c>
      <c r="AH243">
        <v>5.3999999999999999E-2</v>
      </c>
      <c r="AI243">
        <v>0.17100000000000001</v>
      </c>
      <c r="AJ243">
        <v>4.0000000000000001E-3</v>
      </c>
      <c r="AK243">
        <v>5.1999999999999998E-2</v>
      </c>
      <c r="AL243">
        <v>0</v>
      </c>
      <c r="AM243">
        <v>1E-3</v>
      </c>
      <c r="AN243">
        <v>0.76500000000000001</v>
      </c>
      <c r="AO243">
        <v>8.5000000000000006E-2</v>
      </c>
      <c r="AP243">
        <v>5.3999999999999999E-2</v>
      </c>
      <c r="AQ243">
        <v>0</v>
      </c>
      <c r="AR243">
        <v>0</v>
      </c>
      <c r="AS243">
        <v>0</v>
      </c>
      <c r="AT243" t="s">
        <v>243</v>
      </c>
      <c r="AU243" t="s">
        <v>243</v>
      </c>
      <c r="AV243" t="s">
        <v>549</v>
      </c>
    </row>
    <row r="244" spans="1:48" x14ac:dyDescent="0.2">
      <c r="A244" t="s">
        <v>33</v>
      </c>
      <c r="B244" t="s">
        <v>776</v>
      </c>
      <c r="C244" t="s">
        <v>242</v>
      </c>
      <c r="D244" t="s">
        <v>174</v>
      </c>
      <c r="E244" t="s">
        <v>175</v>
      </c>
      <c r="F244" t="s">
        <v>176</v>
      </c>
      <c r="G244">
        <v>0.5</v>
      </c>
      <c r="H244">
        <v>1</v>
      </c>
      <c r="I244" t="s">
        <v>177</v>
      </c>
      <c r="J244" t="s">
        <v>178</v>
      </c>
      <c r="K244" t="s">
        <v>179</v>
      </c>
      <c r="L244" t="s">
        <v>180</v>
      </c>
      <c r="M244">
        <v>1198</v>
      </c>
      <c r="N244">
        <v>4.1736227045075123E-3</v>
      </c>
      <c r="O244">
        <v>1</v>
      </c>
      <c r="P244">
        <v>8.3125519534497094E-3</v>
      </c>
      <c r="Q244">
        <v>1.94</v>
      </c>
      <c r="R244">
        <v>104</v>
      </c>
      <c r="S244">
        <v>104</v>
      </c>
      <c r="T244">
        <v>50933</v>
      </c>
      <c r="U244">
        <v>208</v>
      </c>
      <c r="V244">
        <v>51141</v>
      </c>
      <c r="W244">
        <v>104</v>
      </c>
      <c r="X244">
        <v>50933</v>
      </c>
      <c r="Y244">
        <v>208</v>
      </c>
      <c r="Z244">
        <v>51141</v>
      </c>
      <c r="AA244">
        <v>10400</v>
      </c>
      <c r="AB244">
        <v>10400</v>
      </c>
      <c r="AC244">
        <v>0</v>
      </c>
      <c r="AD244">
        <v>0</v>
      </c>
      <c r="AE244">
        <v>3.9E-2</v>
      </c>
      <c r="AF244">
        <v>1.8380000000000001</v>
      </c>
      <c r="AG244">
        <v>1.2E-2</v>
      </c>
      <c r="AH244">
        <v>5.0999999999999997E-2</v>
      </c>
      <c r="AI244">
        <v>0.16800000000000001</v>
      </c>
      <c r="AJ244">
        <v>8.9999999999999993E-3</v>
      </c>
      <c r="AK244">
        <v>9.0999999999999998E-2</v>
      </c>
      <c r="AL244">
        <v>0</v>
      </c>
      <c r="AM244">
        <v>1E-3</v>
      </c>
      <c r="AN244">
        <v>1.284</v>
      </c>
      <c r="AO244">
        <v>3.5000000000000003E-2</v>
      </c>
      <c r="AP244">
        <v>5.0999999999999997E-2</v>
      </c>
      <c r="AQ244">
        <v>0</v>
      </c>
      <c r="AR244">
        <v>0</v>
      </c>
      <c r="AS244">
        <v>0</v>
      </c>
      <c r="AT244" t="s">
        <v>243</v>
      </c>
      <c r="AU244" t="s">
        <v>243</v>
      </c>
      <c r="AV244" t="s">
        <v>549</v>
      </c>
    </row>
    <row r="245" spans="1:48" x14ac:dyDescent="0.2">
      <c r="A245" t="s">
        <v>33</v>
      </c>
      <c r="B245" t="s">
        <v>777</v>
      </c>
      <c r="C245" t="s">
        <v>242</v>
      </c>
      <c r="D245" t="s">
        <v>174</v>
      </c>
      <c r="E245" t="s">
        <v>175</v>
      </c>
      <c r="F245" t="s">
        <v>176</v>
      </c>
      <c r="G245">
        <v>0.5</v>
      </c>
      <c r="H245">
        <v>1.25</v>
      </c>
      <c r="I245" t="s">
        <v>177</v>
      </c>
      <c r="J245" t="s">
        <v>178</v>
      </c>
      <c r="K245" t="s">
        <v>179</v>
      </c>
      <c r="L245" t="s">
        <v>180</v>
      </c>
      <c r="M245">
        <v>1185</v>
      </c>
      <c r="N245">
        <v>4.2194092827004216E-3</v>
      </c>
      <c r="O245">
        <v>1</v>
      </c>
      <c r="P245">
        <v>8.4033613445378148E-3</v>
      </c>
      <c r="Q245">
        <v>2.12</v>
      </c>
      <c r="R245">
        <v>130</v>
      </c>
      <c r="S245">
        <v>130</v>
      </c>
      <c r="T245">
        <v>60944</v>
      </c>
      <c r="U245">
        <v>260</v>
      </c>
      <c r="V245">
        <v>61204</v>
      </c>
      <c r="W245">
        <v>130</v>
      </c>
      <c r="X245">
        <v>60944</v>
      </c>
      <c r="Y245">
        <v>260</v>
      </c>
      <c r="Z245">
        <v>61204</v>
      </c>
      <c r="AA245">
        <v>10400</v>
      </c>
      <c r="AB245">
        <v>10400</v>
      </c>
      <c r="AC245">
        <v>0</v>
      </c>
      <c r="AD245">
        <v>0</v>
      </c>
      <c r="AE245">
        <v>4.1000000000000002E-2</v>
      </c>
      <c r="AF245">
        <v>2.0379999999999998</v>
      </c>
      <c r="AG245">
        <v>8.0000000000000002E-3</v>
      </c>
      <c r="AH245">
        <v>0.03</v>
      </c>
      <c r="AI245">
        <v>0.14699999999999999</v>
      </c>
      <c r="AJ245">
        <v>6.0000000000000001E-3</v>
      </c>
      <c r="AK245">
        <v>0.09</v>
      </c>
      <c r="AL245">
        <v>0</v>
      </c>
      <c r="AM245">
        <v>1E-3</v>
      </c>
      <c r="AN245">
        <v>1.5620000000000001</v>
      </c>
      <c r="AO245">
        <v>3.7999999999999999E-2</v>
      </c>
      <c r="AP245">
        <v>0.03</v>
      </c>
      <c r="AQ245">
        <v>0</v>
      </c>
      <c r="AR245">
        <v>0</v>
      </c>
      <c r="AS245">
        <v>0</v>
      </c>
      <c r="AT245" t="s">
        <v>243</v>
      </c>
      <c r="AU245" t="s">
        <v>243</v>
      </c>
      <c r="AV245" t="s">
        <v>549</v>
      </c>
    </row>
    <row r="246" spans="1:48" x14ac:dyDescent="0.2">
      <c r="A246" t="s">
        <v>34</v>
      </c>
      <c r="B246" t="s">
        <v>778</v>
      </c>
      <c r="C246" t="s">
        <v>242</v>
      </c>
      <c r="D246" t="s">
        <v>174</v>
      </c>
      <c r="E246" t="s">
        <v>175</v>
      </c>
      <c r="F246" t="s">
        <v>176</v>
      </c>
      <c r="G246">
        <v>0.5</v>
      </c>
      <c r="H246">
        <v>0.25</v>
      </c>
      <c r="I246" t="s">
        <v>177</v>
      </c>
      <c r="J246" t="s">
        <v>178</v>
      </c>
      <c r="K246" t="s">
        <v>179</v>
      </c>
      <c r="L246" t="s">
        <v>180</v>
      </c>
      <c r="M246">
        <v>3917</v>
      </c>
      <c r="N246">
        <v>1.2764871074802139E-3</v>
      </c>
      <c r="O246">
        <v>1</v>
      </c>
      <c r="P246">
        <v>2.5497195308516059E-3</v>
      </c>
      <c r="Q246">
        <v>51.89</v>
      </c>
      <c r="R246">
        <v>576</v>
      </c>
      <c r="S246">
        <v>576</v>
      </c>
      <c r="T246">
        <v>339589</v>
      </c>
      <c r="U246">
        <v>1152</v>
      </c>
      <c r="V246">
        <v>340741</v>
      </c>
      <c r="W246">
        <v>576</v>
      </c>
      <c r="X246">
        <v>339589</v>
      </c>
      <c r="Y246">
        <v>1152</v>
      </c>
      <c r="Z246">
        <v>340741</v>
      </c>
      <c r="AA246">
        <v>230400</v>
      </c>
      <c r="AB246">
        <v>230400</v>
      </c>
      <c r="AC246">
        <v>0</v>
      </c>
      <c r="AD246">
        <v>0</v>
      </c>
      <c r="AE246">
        <v>0.996</v>
      </c>
      <c r="AF246">
        <v>24.045000000000002</v>
      </c>
      <c r="AG246">
        <v>1.2E-2</v>
      </c>
      <c r="AH246">
        <v>26.838000000000001</v>
      </c>
      <c r="AI246">
        <v>0.52400000000000002</v>
      </c>
      <c r="AJ246">
        <v>8.8999999999999996E-2</v>
      </c>
      <c r="AK246">
        <v>2.835</v>
      </c>
      <c r="AL246">
        <v>0</v>
      </c>
      <c r="AM246">
        <v>6.3E-2</v>
      </c>
      <c r="AN246">
        <v>20.228999999999999</v>
      </c>
      <c r="AO246">
        <v>5.2999999999999999E-2</v>
      </c>
      <c r="AP246">
        <v>26.838000000000001</v>
      </c>
      <c r="AQ246">
        <v>0</v>
      </c>
      <c r="AR246">
        <v>0</v>
      </c>
      <c r="AS246">
        <v>0</v>
      </c>
      <c r="AT246" t="s">
        <v>243</v>
      </c>
      <c r="AU246" t="s">
        <v>243</v>
      </c>
      <c r="AV246" t="s">
        <v>549</v>
      </c>
    </row>
    <row r="247" spans="1:48" x14ac:dyDescent="0.2">
      <c r="A247" t="s">
        <v>34</v>
      </c>
      <c r="B247" t="s">
        <v>779</v>
      </c>
      <c r="C247" t="s">
        <v>242</v>
      </c>
      <c r="D247" t="s">
        <v>174</v>
      </c>
      <c r="E247" t="s">
        <v>175</v>
      </c>
      <c r="F247" t="s">
        <v>176</v>
      </c>
      <c r="G247">
        <v>0.5</v>
      </c>
      <c r="H247">
        <v>0.5</v>
      </c>
      <c r="I247" t="s">
        <v>177</v>
      </c>
      <c r="J247" t="s">
        <v>178</v>
      </c>
      <c r="K247" t="s">
        <v>179</v>
      </c>
      <c r="L247" t="s">
        <v>180</v>
      </c>
      <c r="M247">
        <v>3499</v>
      </c>
      <c r="N247">
        <v>1.428979708488139E-3</v>
      </c>
      <c r="O247">
        <v>1</v>
      </c>
      <c r="P247">
        <v>2.8538812785388131E-3</v>
      </c>
      <c r="Q247">
        <v>56.79</v>
      </c>
      <c r="R247">
        <v>1152</v>
      </c>
      <c r="S247">
        <v>1152</v>
      </c>
      <c r="T247">
        <v>678087</v>
      </c>
      <c r="U247">
        <v>2304</v>
      </c>
      <c r="V247">
        <v>680391</v>
      </c>
      <c r="W247">
        <v>1152</v>
      </c>
      <c r="X247">
        <v>678087</v>
      </c>
      <c r="Y247">
        <v>2304</v>
      </c>
      <c r="Z247">
        <v>680391</v>
      </c>
      <c r="AA247">
        <v>230400</v>
      </c>
      <c r="AB247">
        <v>230400</v>
      </c>
      <c r="AC247">
        <v>0</v>
      </c>
      <c r="AD247">
        <v>0</v>
      </c>
      <c r="AE247">
        <v>0.88300000000000001</v>
      </c>
      <c r="AF247">
        <v>28.914000000000001</v>
      </c>
      <c r="AG247">
        <v>2.5999999999999999E-2</v>
      </c>
      <c r="AH247">
        <v>26.969000000000001</v>
      </c>
      <c r="AI247">
        <v>0.33200000000000002</v>
      </c>
      <c r="AJ247">
        <v>7.5999999999999998E-2</v>
      </c>
      <c r="AK247">
        <v>3.2559999999999998</v>
      </c>
      <c r="AL247">
        <v>0</v>
      </c>
      <c r="AM247">
        <v>0.03</v>
      </c>
      <c r="AN247">
        <v>24.908999999999999</v>
      </c>
      <c r="AO247">
        <v>8.7999999999999995E-2</v>
      </c>
      <c r="AP247">
        <v>26.969000000000001</v>
      </c>
      <c r="AQ247">
        <v>0</v>
      </c>
      <c r="AR247">
        <v>0</v>
      </c>
      <c r="AS247">
        <v>0</v>
      </c>
      <c r="AT247" t="s">
        <v>243</v>
      </c>
      <c r="AU247" t="s">
        <v>243</v>
      </c>
      <c r="AV247" t="s">
        <v>549</v>
      </c>
    </row>
    <row r="248" spans="1:48" x14ac:dyDescent="0.2">
      <c r="A248" t="s">
        <v>34</v>
      </c>
      <c r="B248" t="s">
        <v>780</v>
      </c>
      <c r="C248" t="s">
        <v>242</v>
      </c>
      <c r="D248" t="s">
        <v>174</v>
      </c>
      <c r="E248" t="s">
        <v>175</v>
      </c>
      <c r="F248" t="s">
        <v>176</v>
      </c>
      <c r="G248">
        <v>0.5</v>
      </c>
      <c r="H248">
        <v>0.75</v>
      </c>
      <c r="I248" t="s">
        <v>177</v>
      </c>
      <c r="J248" t="s">
        <v>178</v>
      </c>
      <c r="K248" t="s">
        <v>179</v>
      </c>
      <c r="L248" t="s">
        <v>180</v>
      </c>
      <c r="M248">
        <v>3108</v>
      </c>
      <c r="N248">
        <v>1.6087516087516091E-3</v>
      </c>
      <c r="O248">
        <v>1</v>
      </c>
      <c r="P248">
        <v>3.2123353678124001E-3</v>
      </c>
      <c r="Q248">
        <v>57.7</v>
      </c>
      <c r="R248">
        <v>1728</v>
      </c>
      <c r="S248">
        <v>1727</v>
      </c>
      <c r="T248">
        <v>1021873</v>
      </c>
      <c r="U248">
        <v>3454</v>
      </c>
      <c r="V248">
        <v>1025327</v>
      </c>
      <c r="W248">
        <v>1727</v>
      </c>
      <c r="X248">
        <v>1021873</v>
      </c>
      <c r="Y248">
        <v>3454</v>
      </c>
      <c r="Z248">
        <v>1025327</v>
      </c>
      <c r="AA248">
        <v>230400</v>
      </c>
      <c r="AB248">
        <v>230400</v>
      </c>
      <c r="AC248">
        <v>0</v>
      </c>
      <c r="AD248">
        <v>0</v>
      </c>
      <c r="AE248">
        <v>0.83299999999999996</v>
      </c>
      <c r="AF248">
        <v>37.026000000000003</v>
      </c>
      <c r="AG248">
        <v>5.6000000000000001E-2</v>
      </c>
      <c r="AH248">
        <v>19.783999999999999</v>
      </c>
      <c r="AI248">
        <v>0.187</v>
      </c>
      <c r="AJ248">
        <v>8.5999999999999993E-2</v>
      </c>
      <c r="AK248">
        <v>3.226</v>
      </c>
      <c r="AL248">
        <v>0</v>
      </c>
      <c r="AM248">
        <v>3.2000000000000001E-2</v>
      </c>
      <c r="AN248">
        <v>33.353000000000002</v>
      </c>
      <c r="AO248">
        <v>4.9000000000000002E-2</v>
      </c>
      <c r="AP248">
        <v>19.783999999999999</v>
      </c>
      <c r="AQ248">
        <v>0</v>
      </c>
      <c r="AR248">
        <v>0</v>
      </c>
      <c r="AS248">
        <v>0</v>
      </c>
      <c r="AT248" t="s">
        <v>243</v>
      </c>
      <c r="AU248" t="s">
        <v>243</v>
      </c>
      <c r="AV248" t="s">
        <v>549</v>
      </c>
    </row>
    <row r="249" spans="1:48" x14ac:dyDescent="0.2">
      <c r="A249" t="s">
        <v>34</v>
      </c>
      <c r="B249" t="s">
        <v>781</v>
      </c>
      <c r="C249" t="s">
        <v>242</v>
      </c>
      <c r="D249" t="s">
        <v>174</v>
      </c>
      <c r="E249" t="s">
        <v>175</v>
      </c>
      <c r="F249" t="s">
        <v>176</v>
      </c>
      <c r="G249">
        <v>0.5</v>
      </c>
      <c r="H249">
        <v>1</v>
      </c>
      <c r="I249" t="s">
        <v>177</v>
      </c>
      <c r="J249" t="s">
        <v>178</v>
      </c>
      <c r="K249" t="s">
        <v>179</v>
      </c>
      <c r="L249" t="s">
        <v>180</v>
      </c>
      <c r="M249">
        <v>2942</v>
      </c>
      <c r="N249">
        <v>1.6995241332426921E-3</v>
      </c>
      <c r="O249">
        <v>1</v>
      </c>
      <c r="P249">
        <v>3.3932813030200198E-3</v>
      </c>
      <c r="Q249">
        <v>99.51</v>
      </c>
      <c r="R249">
        <v>2304</v>
      </c>
      <c r="S249">
        <v>2304</v>
      </c>
      <c r="T249">
        <v>1306698</v>
      </c>
      <c r="U249">
        <v>4608</v>
      </c>
      <c r="V249">
        <v>1311306</v>
      </c>
      <c r="W249">
        <v>2304</v>
      </c>
      <c r="X249">
        <v>1306698</v>
      </c>
      <c r="Y249">
        <v>4608</v>
      </c>
      <c r="Z249">
        <v>1311306</v>
      </c>
      <c r="AA249">
        <v>230400</v>
      </c>
      <c r="AB249">
        <v>230400</v>
      </c>
      <c r="AC249">
        <v>0</v>
      </c>
      <c r="AD249">
        <v>0</v>
      </c>
      <c r="AE249">
        <v>0.96599999999999997</v>
      </c>
      <c r="AF249">
        <v>78.766999999999996</v>
      </c>
      <c r="AG249">
        <v>5.5E-2</v>
      </c>
      <c r="AH249">
        <v>19.72</v>
      </c>
      <c r="AI249">
        <v>0.24</v>
      </c>
      <c r="AJ249">
        <v>8.5000000000000006E-2</v>
      </c>
      <c r="AK249">
        <v>3.5190000000000001</v>
      </c>
      <c r="AL249">
        <v>0</v>
      </c>
      <c r="AM249">
        <v>3.1E-2</v>
      </c>
      <c r="AN249">
        <v>74.617999999999995</v>
      </c>
      <c r="AO249">
        <v>4.2999999999999997E-2</v>
      </c>
      <c r="AP249">
        <v>19.72</v>
      </c>
      <c r="AQ249">
        <v>0</v>
      </c>
      <c r="AR249">
        <v>0</v>
      </c>
      <c r="AS249">
        <v>0</v>
      </c>
      <c r="AT249" t="s">
        <v>243</v>
      </c>
      <c r="AU249" t="s">
        <v>243</v>
      </c>
      <c r="AV249" t="s">
        <v>549</v>
      </c>
    </row>
    <row r="250" spans="1:48" x14ac:dyDescent="0.2">
      <c r="A250" t="s">
        <v>34</v>
      </c>
      <c r="B250" t="s">
        <v>782</v>
      </c>
      <c r="C250" t="s">
        <v>242</v>
      </c>
      <c r="D250" t="s">
        <v>174</v>
      </c>
      <c r="E250" t="s">
        <v>175</v>
      </c>
      <c r="F250" t="s">
        <v>176</v>
      </c>
      <c r="G250">
        <v>0.5</v>
      </c>
      <c r="H250">
        <v>1.25</v>
      </c>
      <c r="I250" t="s">
        <v>177</v>
      </c>
      <c r="J250" t="s">
        <v>178</v>
      </c>
      <c r="K250" t="s">
        <v>179</v>
      </c>
      <c r="L250" t="s">
        <v>180</v>
      </c>
      <c r="M250">
        <v>3622</v>
      </c>
      <c r="N250">
        <v>1.380452788514633E-3</v>
      </c>
      <c r="O250">
        <v>1</v>
      </c>
      <c r="P250">
        <v>2.7570995312930801E-3</v>
      </c>
      <c r="Q250">
        <v>112.19</v>
      </c>
      <c r="R250">
        <v>2880</v>
      </c>
      <c r="S250">
        <v>2880</v>
      </c>
      <c r="T250">
        <v>1590387</v>
      </c>
      <c r="U250">
        <v>5760</v>
      </c>
      <c r="V250">
        <v>1596147</v>
      </c>
      <c r="W250">
        <v>2880</v>
      </c>
      <c r="X250">
        <v>1590387</v>
      </c>
      <c r="Y250">
        <v>5760</v>
      </c>
      <c r="Z250">
        <v>1596147</v>
      </c>
      <c r="AA250">
        <v>230400</v>
      </c>
      <c r="AB250">
        <v>230400</v>
      </c>
      <c r="AC250">
        <v>0</v>
      </c>
      <c r="AD250">
        <v>0</v>
      </c>
      <c r="AE250">
        <v>0.998</v>
      </c>
      <c r="AF250">
        <v>96.653000000000006</v>
      </c>
      <c r="AG250">
        <v>3.5000000000000003E-2</v>
      </c>
      <c r="AH250">
        <v>14.504</v>
      </c>
      <c r="AI250">
        <v>0.218</v>
      </c>
      <c r="AJ250">
        <v>5.2999999999999999E-2</v>
      </c>
      <c r="AK250">
        <v>3.2480000000000002</v>
      </c>
      <c r="AL250">
        <v>0</v>
      </c>
      <c r="AM250">
        <v>2.7E-2</v>
      </c>
      <c r="AN250">
        <v>92.793000000000006</v>
      </c>
      <c r="AO250">
        <v>7.3999999999999996E-2</v>
      </c>
      <c r="AP250">
        <v>14.504</v>
      </c>
      <c r="AQ250">
        <v>0</v>
      </c>
      <c r="AR250">
        <v>0</v>
      </c>
      <c r="AS250">
        <v>0</v>
      </c>
      <c r="AT250" t="s">
        <v>243</v>
      </c>
      <c r="AU250" t="s">
        <v>243</v>
      </c>
      <c r="AV250" t="s">
        <v>549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7"/>
  <sheetViews>
    <sheetView zoomScale="166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783</v>
      </c>
      <c r="C1" t="s">
        <v>784</v>
      </c>
      <c r="D1" t="s">
        <v>785</v>
      </c>
      <c r="E1" t="s">
        <v>786</v>
      </c>
      <c r="F1" t="s">
        <v>787</v>
      </c>
      <c r="G1" t="s">
        <v>788</v>
      </c>
      <c r="H1" t="s">
        <v>789</v>
      </c>
      <c r="I1" t="s">
        <v>790</v>
      </c>
      <c r="J1" t="s">
        <v>791</v>
      </c>
    </row>
    <row r="2" spans="1:10" x14ac:dyDescent="0.2">
      <c r="A2" t="s">
        <v>33</v>
      </c>
      <c r="B2">
        <v>0</v>
      </c>
      <c r="C2">
        <v>12.5</v>
      </c>
      <c r="D2">
        <v>0.01</v>
      </c>
      <c r="E2">
        <v>13.5</v>
      </c>
      <c r="F2">
        <v>0.01</v>
      </c>
      <c r="G2">
        <v>14.5</v>
      </c>
      <c r="H2">
        <v>0.75</v>
      </c>
      <c r="I2">
        <v>16.2</v>
      </c>
      <c r="J2">
        <v>4</v>
      </c>
    </row>
    <row r="3" spans="1:10" x14ac:dyDescent="0.2">
      <c r="A3" t="s">
        <v>34</v>
      </c>
      <c r="B3">
        <v>0</v>
      </c>
      <c r="C3">
        <v>14.5</v>
      </c>
      <c r="D3">
        <v>0</v>
      </c>
      <c r="E3">
        <v>14.7</v>
      </c>
      <c r="F3">
        <v>0</v>
      </c>
      <c r="G3">
        <v>67.400000000000006</v>
      </c>
      <c r="H3">
        <v>0.21</v>
      </c>
      <c r="I3">
        <v>24.2</v>
      </c>
      <c r="J3">
        <v>4</v>
      </c>
    </row>
    <row r="4" spans="1:10" x14ac:dyDescent="0.2">
      <c r="A4" t="s">
        <v>35</v>
      </c>
      <c r="B4">
        <v>0.21</v>
      </c>
      <c r="C4">
        <v>12.8</v>
      </c>
      <c r="D4">
        <v>0.21</v>
      </c>
      <c r="E4">
        <v>22.8</v>
      </c>
      <c r="F4">
        <v>0.23</v>
      </c>
      <c r="G4">
        <v>28</v>
      </c>
      <c r="H4">
        <v>0.32</v>
      </c>
      <c r="I4">
        <v>39.9</v>
      </c>
      <c r="J4">
        <v>4</v>
      </c>
    </row>
    <row r="5" spans="1:10" x14ac:dyDescent="0.2">
      <c r="A5" t="s">
        <v>36</v>
      </c>
      <c r="B5">
        <v>0.17</v>
      </c>
      <c r="C5">
        <v>19.2</v>
      </c>
      <c r="D5">
        <v>0.09</v>
      </c>
      <c r="E5">
        <v>19.7</v>
      </c>
      <c r="F5">
        <v>0.09</v>
      </c>
      <c r="G5">
        <v>26.7</v>
      </c>
      <c r="H5">
        <v>0.25</v>
      </c>
      <c r="I5">
        <v>33.5</v>
      </c>
      <c r="J5">
        <v>4</v>
      </c>
    </row>
    <row r="6" spans="1:10" x14ac:dyDescent="0.2">
      <c r="A6" t="s">
        <v>37</v>
      </c>
      <c r="B6">
        <v>0.02</v>
      </c>
      <c r="C6">
        <v>41.5</v>
      </c>
      <c r="D6">
        <v>0.05</v>
      </c>
      <c r="E6">
        <v>41</v>
      </c>
      <c r="F6">
        <v>0.02</v>
      </c>
      <c r="G6">
        <v>55.7</v>
      </c>
      <c r="H6">
        <v>0.11</v>
      </c>
      <c r="I6">
        <v>42.5</v>
      </c>
      <c r="J6">
        <v>4</v>
      </c>
    </row>
    <row r="7" spans="1:10" x14ac:dyDescent="0.2">
      <c r="A7" t="s">
        <v>38</v>
      </c>
      <c r="B7">
        <v>0.09</v>
      </c>
      <c r="C7">
        <v>41.5</v>
      </c>
      <c r="D7">
        <v>0.12</v>
      </c>
      <c r="E7">
        <v>47.5</v>
      </c>
      <c r="F7">
        <v>7.0000000000000007E-2</v>
      </c>
      <c r="G7">
        <v>63.7</v>
      </c>
      <c r="H7">
        <v>0.14000000000000001</v>
      </c>
      <c r="I7">
        <v>56.8</v>
      </c>
      <c r="J7">
        <v>4</v>
      </c>
    </row>
    <row r="8" spans="1:10" x14ac:dyDescent="0.2">
      <c r="A8" t="s">
        <v>39</v>
      </c>
      <c r="B8">
        <v>0</v>
      </c>
      <c r="C8">
        <v>96.1</v>
      </c>
      <c r="D8">
        <v>0.62</v>
      </c>
      <c r="E8">
        <v>95.5</v>
      </c>
      <c r="F8">
        <v>0.67</v>
      </c>
      <c r="G8">
        <v>132.30000000000001</v>
      </c>
      <c r="H8">
        <v>0.69</v>
      </c>
      <c r="I8">
        <v>106.4</v>
      </c>
      <c r="J8">
        <v>4</v>
      </c>
    </row>
    <row r="9" spans="1:10" x14ac:dyDescent="0.2">
      <c r="A9" t="s">
        <v>40</v>
      </c>
      <c r="B9">
        <v>0.93</v>
      </c>
      <c r="C9">
        <v>51.5</v>
      </c>
      <c r="D9">
        <v>0.94</v>
      </c>
      <c r="E9">
        <v>53.8</v>
      </c>
      <c r="F9">
        <v>0.94</v>
      </c>
      <c r="G9">
        <v>58.4</v>
      </c>
      <c r="H9">
        <v>0.95</v>
      </c>
      <c r="I9">
        <v>60</v>
      </c>
      <c r="J9">
        <v>4</v>
      </c>
    </row>
    <row r="10" spans="1:10" x14ac:dyDescent="0.2">
      <c r="A10" t="s">
        <v>41</v>
      </c>
      <c r="B10">
        <v>0.33</v>
      </c>
      <c r="C10">
        <v>25.9</v>
      </c>
      <c r="D10">
        <v>0.36</v>
      </c>
      <c r="E10">
        <v>31.1</v>
      </c>
      <c r="F10">
        <v>0.39</v>
      </c>
      <c r="G10">
        <v>37.200000000000003</v>
      </c>
      <c r="H10">
        <v>0.39</v>
      </c>
      <c r="I10">
        <v>38.4</v>
      </c>
      <c r="J10">
        <v>3</v>
      </c>
    </row>
    <row r="11" spans="1:10" x14ac:dyDescent="0.2">
      <c r="A11" t="s">
        <v>42</v>
      </c>
      <c r="B11">
        <v>0.21</v>
      </c>
      <c r="C11">
        <v>70.400000000000006</v>
      </c>
      <c r="D11">
        <v>0.13</v>
      </c>
      <c r="E11">
        <v>71.599999999999994</v>
      </c>
      <c r="F11">
        <v>0.19</v>
      </c>
      <c r="G11">
        <v>76.2</v>
      </c>
      <c r="H11">
        <v>0.22</v>
      </c>
      <c r="I11">
        <v>80.599999999999994</v>
      </c>
      <c r="J11">
        <v>4</v>
      </c>
    </row>
    <row r="12" spans="1:10" x14ac:dyDescent="0.2">
      <c r="A12" t="s">
        <v>43</v>
      </c>
      <c r="B12">
        <v>0</v>
      </c>
      <c r="C12">
        <v>2.2000000000000002</v>
      </c>
      <c r="D12">
        <v>0.2</v>
      </c>
      <c r="E12">
        <v>2.2999999999999998</v>
      </c>
      <c r="F12">
        <v>0.2</v>
      </c>
      <c r="G12">
        <v>1.8</v>
      </c>
      <c r="H12">
        <v>0.73</v>
      </c>
      <c r="I12">
        <v>4.4000000000000004</v>
      </c>
      <c r="J12">
        <v>4</v>
      </c>
    </row>
    <row r="13" spans="1:10" x14ac:dyDescent="0.2">
      <c r="A13" t="s">
        <v>44</v>
      </c>
      <c r="B13">
        <v>0.39</v>
      </c>
      <c r="C13">
        <v>23.7</v>
      </c>
      <c r="D13">
        <v>0.36</v>
      </c>
      <c r="E13">
        <v>27.6</v>
      </c>
      <c r="F13">
        <v>0.14000000000000001</v>
      </c>
      <c r="G13">
        <v>43.9</v>
      </c>
      <c r="H13">
        <v>0.32</v>
      </c>
      <c r="I13">
        <v>27.6</v>
      </c>
      <c r="J13">
        <v>1</v>
      </c>
    </row>
    <row r="14" spans="1:10" x14ac:dyDescent="0.2">
      <c r="A14" t="s">
        <v>483</v>
      </c>
      <c r="B14">
        <v>0.11</v>
      </c>
      <c r="C14">
        <v>0.2</v>
      </c>
      <c r="D14">
        <v>0.12</v>
      </c>
      <c r="E14">
        <v>0.3</v>
      </c>
      <c r="F14">
        <v>0.12</v>
      </c>
      <c r="G14">
        <v>0.7</v>
      </c>
      <c r="H14">
        <v>0.19</v>
      </c>
      <c r="I14">
        <v>0.3</v>
      </c>
      <c r="J14">
        <v>4</v>
      </c>
    </row>
    <row r="15" spans="1:10" x14ac:dyDescent="0.2">
      <c r="A15" t="s">
        <v>484</v>
      </c>
      <c r="B15">
        <v>0</v>
      </c>
      <c r="C15">
        <v>0.3</v>
      </c>
      <c r="D15">
        <v>0</v>
      </c>
      <c r="E15">
        <v>0.3</v>
      </c>
      <c r="F15">
        <v>0.04</v>
      </c>
      <c r="G15">
        <v>0.8</v>
      </c>
      <c r="H15">
        <v>0.05</v>
      </c>
      <c r="I15">
        <v>0.8</v>
      </c>
      <c r="J15">
        <v>4</v>
      </c>
    </row>
    <row r="16" spans="1:10" x14ac:dyDescent="0.2">
      <c r="A16" t="s">
        <v>485</v>
      </c>
      <c r="B16">
        <v>0</v>
      </c>
      <c r="C16">
        <v>0.5</v>
      </c>
      <c r="D16">
        <v>0.01</v>
      </c>
      <c r="E16">
        <v>0.5</v>
      </c>
      <c r="F16">
        <v>0.08</v>
      </c>
      <c r="G16">
        <v>1.5</v>
      </c>
      <c r="H16">
        <v>0.1</v>
      </c>
      <c r="I16">
        <v>0.8</v>
      </c>
      <c r="J16">
        <v>4</v>
      </c>
    </row>
    <row r="17" spans="1:10" x14ac:dyDescent="0.2">
      <c r="A17" t="s">
        <v>486</v>
      </c>
      <c r="B17">
        <v>0</v>
      </c>
      <c r="C17">
        <v>0.3</v>
      </c>
      <c r="D17">
        <v>0</v>
      </c>
      <c r="E17">
        <v>0.4</v>
      </c>
      <c r="F17">
        <v>0.03</v>
      </c>
      <c r="G17">
        <v>1</v>
      </c>
      <c r="H17">
        <v>0.04</v>
      </c>
      <c r="I17">
        <v>0.8</v>
      </c>
      <c r="J17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7"/>
  <sheetViews>
    <sheetView zoomScale="142" workbookViewId="0">
      <selection activeCell="K23" sqref="K23"/>
    </sheetView>
  </sheetViews>
  <sheetFormatPr baseColWidth="10" defaultColWidth="8.83203125" defaultRowHeight="15" x14ac:dyDescent="0.2"/>
  <cols>
    <col min="11" max="11" width="12.33203125" customWidth="1"/>
  </cols>
  <sheetData>
    <row r="1" spans="1:13" x14ac:dyDescent="0.2">
      <c r="A1" t="s">
        <v>0</v>
      </c>
      <c r="B1" t="s">
        <v>792</v>
      </c>
      <c r="C1" t="s">
        <v>793</v>
      </c>
      <c r="D1" t="s">
        <v>794</v>
      </c>
      <c r="E1" t="s">
        <v>795</v>
      </c>
      <c r="F1" t="s">
        <v>796</v>
      </c>
      <c r="G1" t="s">
        <v>797</v>
      </c>
      <c r="H1" t="s">
        <v>798</v>
      </c>
      <c r="I1" t="s">
        <v>799</v>
      </c>
      <c r="J1" t="s">
        <v>791</v>
      </c>
      <c r="K1" t="s">
        <v>811</v>
      </c>
    </row>
    <row r="2" spans="1:13" x14ac:dyDescent="0.2">
      <c r="A2" t="s">
        <v>33</v>
      </c>
      <c r="B2">
        <v>0</v>
      </c>
      <c r="C2">
        <v>12.5</v>
      </c>
      <c r="D2">
        <v>0</v>
      </c>
      <c r="E2">
        <v>15</v>
      </c>
      <c r="F2">
        <v>0.75</v>
      </c>
      <c r="G2">
        <v>14.2</v>
      </c>
      <c r="H2">
        <v>1</v>
      </c>
      <c r="I2">
        <v>17.8</v>
      </c>
      <c r="J2">
        <v>4</v>
      </c>
      <c r="K2">
        <f>(M2-I2)/M2</f>
        <v>7.7720207253886009E-2</v>
      </c>
      <c r="L2" t="s">
        <v>33</v>
      </c>
      <c r="M2">
        <v>19.3</v>
      </c>
    </row>
    <row r="3" spans="1:13" x14ac:dyDescent="0.2">
      <c r="A3" t="s">
        <v>34</v>
      </c>
      <c r="B3">
        <v>0</v>
      </c>
      <c r="C3">
        <v>14.5</v>
      </c>
      <c r="D3">
        <v>0</v>
      </c>
      <c r="E3">
        <v>33.5</v>
      </c>
      <c r="F3">
        <v>0.21</v>
      </c>
      <c r="G3">
        <v>24.2</v>
      </c>
      <c r="H3">
        <v>0.83</v>
      </c>
      <c r="I3">
        <v>43.2</v>
      </c>
      <c r="J3">
        <v>4</v>
      </c>
      <c r="K3">
        <f t="shared" ref="K3:K17" si="0">(M3-I3)/M3</f>
        <v>8.1437380395492198E-2</v>
      </c>
      <c r="L3" s="35" t="s">
        <v>34</v>
      </c>
      <c r="M3" s="35">
        <v>47.03</v>
      </c>
    </row>
    <row r="4" spans="1:13" x14ac:dyDescent="0.2">
      <c r="A4" t="s">
        <v>35</v>
      </c>
      <c r="B4">
        <v>0.21</v>
      </c>
      <c r="C4">
        <v>12.8</v>
      </c>
      <c r="D4">
        <v>0.23</v>
      </c>
      <c r="E4">
        <v>39.9</v>
      </c>
      <c r="F4">
        <v>0.32</v>
      </c>
      <c r="G4">
        <v>39.9</v>
      </c>
      <c r="H4">
        <v>0.35</v>
      </c>
      <c r="I4">
        <v>48.4</v>
      </c>
      <c r="J4">
        <v>4</v>
      </c>
      <c r="K4">
        <f t="shared" si="0"/>
        <v>0.17826825127334467</v>
      </c>
      <c r="L4" t="s">
        <v>35</v>
      </c>
      <c r="M4">
        <v>58.9</v>
      </c>
    </row>
    <row r="5" spans="1:13" x14ac:dyDescent="0.2">
      <c r="A5" t="s">
        <v>36</v>
      </c>
      <c r="B5">
        <v>0.17</v>
      </c>
      <c r="C5">
        <v>19.2</v>
      </c>
      <c r="D5">
        <v>0.28000000000000003</v>
      </c>
      <c r="E5">
        <v>49.3</v>
      </c>
      <c r="F5">
        <v>0.25</v>
      </c>
      <c r="G5">
        <v>33.5</v>
      </c>
      <c r="H5">
        <v>0.42</v>
      </c>
      <c r="I5">
        <v>56.7</v>
      </c>
      <c r="J5">
        <v>4</v>
      </c>
      <c r="K5">
        <f t="shared" si="0"/>
        <v>0.15499254843517127</v>
      </c>
      <c r="L5" s="35" t="s">
        <v>36</v>
      </c>
      <c r="M5" s="35">
        <v>67.099999999999994</v>
      </c>
    </row>
    <row r="6" spans="1:13" x14ac:dyDescent="0.2">
      <c r="A6" t="s">
        <v>37</v>
      </c>
      <c r="B6">
        <v>0.02</v>
      </c>
      <c r="C6">
        <v>40.9</v>
      </c>
      <c r="D6">
        <v>0.02</v>
      </c>
      <c r="E6">
        <v>48.2</v>
      </c>
      <c r="F6">
        <v>0.11</v>
      </c>
      <c r="G6">
        <v>42.5</v>
      </c>
      <c r="H6">
        <v>0.67</v>
      </c>
      <c r="I6">
        <v>50</v>
      </c>
      <c r="J6">
        <v>4</v>
      </c>
      <c r="K6">
        <f t="shared" si="0"/>
        <v>6.5420560747663545E-2</v>
      </c>
      <c r="L6" s="35" t="s">
        <v>37</v>
      </c>
      <c r="M6" s="35">
        <v>53.5</v>
      </c>
    </row>
    <row r="7" spans="1:13" x14ac:dyDescent="0.2">
      <c r="A7" t="s">
        <v>38</v>
      </c>
      <c r="B7">
        <v>0.09</v>
      </c>
      <c r="C7">
        <v>41.5</v>
      </c>
      <c r="D7">
        <v>0.09</v>
      </c>
      <c r="E7">
        <v>55.9</v>
      </c>
      <c r="F7">
        <v>0.14000000000000001</v>
      </c>
      <c r="G7">
        <v>56.8</v>
      </c>
      <c r="H7">
        <v>0.36</v>
      </c>
      <c r="I7">
        <v>70.400000000000006</v>
      </c>
      <c r="J7">
        <v>4</v>
      </c>
      <c r="K7">
        <f t="shared" si="0"/>
        <v>8.033964728935325E-2</v>
      </c>
      <c r="L7" s="35" t="s">
        <v>38</v>
      </c>
      <c r="M7" s="35">
        <v>76.55</v>
      </c>
    </row>
    <row r="8" spans="1:13" x14ac:dyDescent="0.2">
      <c r="A8" t="s">
        <v>39</v>
      </c>
      <c r="B8">
        <v>0</v>
      </c>
      <c r="C8">
        <v>96.1</v>
      </c>
      <c r="D8">
        <v>0.15</v>
      </c>
      <c r="E8">
        <v>102</v>
      </c>
      <c r="F8">
        <v>0.67</v>
      </c>
      <c r="G8">
        <v>106.4</v>
      </c>
      <c r="H8">
        <v>0.86</v>
      </c>
      <c r="I8">
        <v>119.9</v>
      </c>
      <c r="J8">
        <v>4</v>
      </c>
      <c r="K8">
        <f t="shared" si="0"/>
        <v>0.1882193635748137</v>
      </c>
      <c r="L8" t="s">
        <v>39</v>
      </c>
      <c r="M8">
        <v>147.69999999999999</v>
      </c>
    </row>
    <row r="9" spans="1:13" x14ac:dyDescent="0.2">
      <c r="A9" t="s">
        <v>40</v>
      </c>
      <c r="B9">
        <v>0.93</v>
      </c>
      <c r="C9">
        <v>51.5</v>
      </c>
      <c r="D9">
        <v>0.92</v>
      </c>
      <c r="E9">
        <v>60.7</v>
      </c>
      <c r="F9">
        <v>0.94</v>
      </c>
      <c r="G9">
        <v>60</v>
      </c>
      <c r="H9">
        <v>0.96</v>
      </c>
      <c r="I9">
        <v>78.3</v>
      </c>
      <c r="J9">
        <v>4</v>
      </c>
      <c r="K9">
        <f t="shared" si="0"/>
        <v>7.9905992949471177E-2</v>
      </c>
      <c r="L9" t="s">
        <v>40</v>
      </c>
      <c r="M9">
        <v>85.1</v>
      </c>
    </row>
    <row r="10" spans="1:13" x14ac:dyDescent="0.2">
      <c r="A10" t="s">
        <v>41</v>
      </c>
      <c r="B10">
        <v>0.33</v>
      </c>
      <c r="C10">
        <v>25.9</v>
      </c>
      <c r="D10">
        <v>0.34</v>
      </c>
      <c r="E10">
        <v>27.5</v>
      </c>
      <c r="F10">
        <v>0.39</v>
      </c>
      <c r="G10">
        <v>38.4</v>
      </c>
      <c r="H10">
        <v>0.43</v>
      </c>
      <c r="I10">
        <v>39.299999999999997</v>
      </c>
      <c r="J10">
        <v>4</v>
      </c>
      <c r="K10">
        <f t="shared" si="0"/>
        <v>8.3916083916083947E-2</v>
      </c>
      <c r="L10" s="35" t="s">
        <v>41</v>
      </c>
      <c r="M10" s="35">
        <v>42.9</v>
      </c>
    </row>
    <row r="11" spans="1:13" x14ac:dyDescent="0.2">
      <c r="A11" t="s">
        <v>42</v>
      </c>
      <c r="B11">
        <v>0.21</v>
      </c>
      <c r="C11">
        <v>70.400000000000006</v>
      </c>
      <c r="D11">
        <v>0.21</v>
      </c>
      <c r="E11">
        <v>74.400000000000006</v>
      </c>
      <c r="F11">
        <v>0.22</v>
      </c>
      <c r="G11">
        <v>80.599999999999994</v>
      </c>
      <c r="H11">
        <v>0.22</v>
      </c>
      <c r="I11">
        <v>85</v>
      </c>
      <c r="J11">
        <v>4</v>
      </c>
      <c r="K11">
        <f t="shared" si="0"/>
        <v>9.4781682641107617E-2</v>
      </c>
      <c r="L11" s="35" t="s">
        <v>42</v>
      </c>
      <c r="M11" s="35">
        <v>93.9</v>
      </c>
    </row>
    <row r="12" spans="1:13" x14ac:dyDescent="0.2">
      <c r="A12" t="s">
        <v>43</v>
      </c>
      <c r="B12">
        <v>0</v>
      </c>
      <c r="C12">
        <v>2.2000000000000002</v>
      </c>
      <c r="D12">
        <v>0.06</v>
      </c>
      <c r="E12">
        <v>4.7</v>
      </c>
      <c r="F12">
        <v>0.73</v>
      </c>
      <c r="G12">
        <v>4.4000000000000004</v>
      </c>
      <c r="H12">
        <v>0.78</v>
      </c>
      <c r="I12">
        <v>5.9</v>
      </c>
      <c r="J12">
        <v>4</v>
      </c>
      <c r="K12">
        <f t="shared" si="0"/>
        <v>7.8125E-2</v>
      </c>
      <c r="L12" t="s">
        <v>43</v>
      </c>
      <c r="M12">
        <v>6.4</v>
      </c>
    </row>
    <row r="13" spans="1:13" x14ac:dyDescent="0.2">
      <c r="A13" t="s">
        <v>44</v>
      </c>
      <c r="B13">
        <v>0.39</v>
      </c>
      <c r="C13">
        <v>23.7</v>
      </c>
      <c r="D13">
        <v>0.4</v>
      </c>
      <c r="E13">
        <v>23.9</v>
      </c>
      <c r="F13">
        <v>0.32</v>
      </c>
      <c r="G13">
        <v>27.6</v>
      </c>
      <c r="H13">
        <v>0.37</v>
      </c>
      <c r="I13">
        <v>30.6</v>
      </c>
      <c r="J13">
        <v>2</v>
      </c>
      <c r="K13">
        <f t="shared" si="0"/>
        <v>7.9975947083583784E-2</v>
      </c>
      <c r="L13" s="35" t="s">
        <v>44</v>
      </c>
      <c r="M13" s="35">
        <v>33.26</v>
      </c>
    </row>
    <row r="14" spans="1:13" x14ac:dyDescent="0.2">
      <c r="A14" t="s">
        <v>483</v>
      </c>
      <c r="B14">
        <v>0.11</v>
      </c>
      <c r="C14">
        <v>0.2</v>
      </c>
      <c r="D14">
        <v>0.67</v>
      </c>
      <c r="E14">
        <v>0.2</v>
      </c>
      <c r="F14">
        <v>0.19</v>
      </c>
      <c r="G14">
        <v>0.3</v>
      </c>
      <c r="H14">
        <v>0.8</v>
      </c>
      <c r="I14">
        <v>0.4</v>
      </c>
      <c r="J14">
        <v>4</v>
      </c>
      <c r="K14">
        <f t="shared" si="0"/>
        <v>0.13043478260869565</v>
      </c>
      <c r="L14" t="s">
        <v>45</v>
      </c>
      <c r="M14">
        <v>0.46</v>
      </c>
    </row>
    <row r="15" spans="1:13" x14ac:dyDescent="0.2">
      <c r="A15" t="s">
        <v>484</v>
      </c>
      <c r="B15">
        <v>0</v>
      </c>
      <c r="C15">
        <v>0.3</v>
      </c>
      <c r="D15">
        <v>0</v>
      </c>
      <c r="E15">
        <v>0.3</v>
      </c>
      <c r="F15">
        <v>0.05</v>
      </c>
      <c r="G15">
        <v>0.8</v>
      </c>
      <c r="H15">
        <v>0.63</v>
      </c>
      <c r="I15">
        <v>0.9</v>
      </c>
      <c r="J15">
        <v>4</v>
      </c>
      <c r="K15">
        <f t="shared" si="0"/>
        <v>7.2164948453608199E-2</v>
      </c>
      <c r="L15" t="s">
        <v>46</v>
      </c>
      <c r="M15">
        <v>0.97</v>
      </c>
    </row>
    <row r="16" spans="1:13" x14ac:dyDescent="0.2">
      <c r="A16" t="s">
        <v>485</v>
      </c>
      <c r="B16">
        <v>0</v>
      </c>
      <c r="C16">
        <v>0.5</v>
      </c>
      <c r="D16">
        <v>0</v>
      </c>
      <c r="E16">
        <v>0.5</v>
      </c>
      <c r="F16">
        <v>0.1</v>
      </c>
      <c r="G16">
        <v>0.8</v>
      </c>
      <c r="H16">
        <v>1</v>
      </c>
      <c r="I16">
        <v>1.3</v>
      </c>
      <c r="J16">
        <v>4</v>
      </c>
      <c r="K16">
        <f t="shared" si="0"/>
        <v>7.1428571428571341E-2</v>
      </c>
      <c r="L16" t="s">
        <v>47</v>
      </c>
      <c r="M16">
        <v>1.4</v>
      </c>
    </row>
    <row r="17" spans="1:13" x14ac:dyDescent="0.2">
      <c r="A17" t="s">
        <v>486</v>
      </c>
      <c r="B17">
        <v>0</v>
      </c>
      <c r="C17">
        <v>0.3</v>
      </c>
      <c r="D17">
        <v>0</v>
      </c>
      <c r="E17">
        <v>0.4</v>
      </c>
      <c r="F17">
        <v>0.04</v>
      </c>
      <c r="G17">
        <v>0.8</v>
      </c>
      <c r="H17">
        <v>0.67</v>
      </c>
      <c r="I17">
        <v>1.4</v>
      </c>
      <c r="J17">
        <v>4</v>
      </c>
      <c r="K17">
        <f t="shared" si="0"/>
        <v>9.0909090909090981E-2</v>
      </c>
      <c r="L17" t="s">
        <v>48</v>
      </c>
      <c r="M17">
        <v>1.54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t="s">
        <v>800</v>
      </c>
      <c r="B1" t="s">
        <v>801</v>
      </c>
      <c r="C1" t="s">
        <v>802</v>
      </c>
      <c r="D1" t="s">
        <v>803</v>
      </c>
      <c r="E1" t="s">
        <v>804</v>
      </c>
      <c r="F1" t="s">
        <v>805</v>
      </c>
      <c r="G1" t="s">
        <v>806</v>
      </c>
      <c r="H1" t="s">
        <v>807</v>
      </c>
      <c r="I1" t="s">
        <v>808</v>
      </c>
    </row>
    <row r="2" spans="1:9" x14ac:dyDescent="0.2">
      <c r="A2" t="s">
        <v>809</v>
      </c>
      <c r="B2">
        <v>0.02</v>
      </c>
      <c r="C2">
        <v>1.6</v>
      </c>
      <c r="D2">
        <v>0.01</v>
      </c>
      <c r="E2">
        <v>1.9</v>
      </c>
      <c r="F2">
        <v>0.02</v>
      </c>
      <c r="G2">
        <v>2.5</v>
      </c>
      <c r="H2">
        <v>0.03</v>
      </c>
      <c r="I2">
        <v>2.8</v>
      </c>
    </row>
    <row r="3" spans="1:9" x14ac:dyDescent="0.2">
      <c r="A3" t="s">
        <v>810</v>
      </c>
      <c r="B3">
        <v>0.02</v>
      </c>
      <c r="C3">
        <v>1.6</v>
      </c>
      <c r="D3">
        <v>0.02</v>
      </c>
      <c r="E3">
        <v>3.1</v>
      </c>
      <c r="F3">
        <v>0.03</v>
      </c>
      <c r="G3">
        <v>2.8</v>
      </c>
      <c r="H3">
        <v>0.03</v>
      </c>
      <c r="I3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hyper-param</vt:lpstr>
      <vt:lpstr>Table-dataset</vt:lpstr>
      <vt:lpstr>Low Selectivity Query</vt:lpstr>
      <vt:lpstr>ablation-diff-impl</vt:lpstr>
      <vt:lpstr>BARGAIN</vt:lpstr>
      <vt:lpstr>ablation-f1-system</vt:lpstr>
      <vt:lpstr>ablation-latency-system</vt:lpstr>
      <vt:lpstr>defer-ablation</vt:lpstr>
      <vt:lpstr>time-breakdown</vt:lpstr>
      <vt:lpstr>ablation-table-summary</vt:lpstr>
      <vt:lpstr>Figure8</vt:lpstr>
      <vt:lpstr>Figure9</vt:lpstr>
      <vt:lpstr>budget-diffsystem-ablation</vt:lpstr>
      <vt:lpstr>ablation-embedding model</vt:lpstr>
      <vt:lpstr>Model-ablation</vt:lpstr>
      <vt:lpstr>MLLM-ablation</vt:lpstr>
      <vt:lpstr>uqe topk unif-SamplingAblation</vt:lpstr>
      <vt:lpstr>Table3-sampler</vt:lpstr>
      <vt:lpstr>Table4-prop</vt:lpstr>
      <vt:lpstr>Table34-stddev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Haikai Zhao</cp:lastModifiedBy>
  <dcterms:created xsi:type="dcterms:W3CDTF">2026-05-06T17:37:03Z</dcterms:created>
  <dcterms:modified xsi:type="dcterms:W3CDTF">2026-06-19T21:06:25Z</dcterms:modified>
</cp:coreProperties>
</file>